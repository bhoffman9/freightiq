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2" i="1" l="1"/>
</calcChain>
</file>

<file path=xl/sharedStrings.xml><?xml version="1.0" encoding="utf-8"?>
<sst xmlns="http://schemas.openxmlformats.org/spreadsheetml/2006/main" count="139" uniqueCount="139">
  <si>
    <t>CE &amp; SF Combined</t>
  </si>
  <si>
    <t>Profit and Loss</t>
  </si>
  <si>
    <t>January 1-June 13,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</si>
  <si>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</si>
  <si>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</si>
  <si>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</si>
  <si>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</si>
  <si>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</si>
  <si>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</si>
  <si>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</si>
  <si>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</si>
  <si>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</si>
  <si>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</si>
  <si>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</si>
  <si>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</si>
  <si>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</si>
  <si>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</si>
  <si>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</si>
  <si>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</si>
  <si>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</si>
  <si>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</si>
  <si>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</si>
  <si>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</si>
  <si>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</si>
  <si>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</si>
  <si>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</si>
  <si>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</si>
  <si>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</si>
  <si>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</si>
  <si>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</si>
  <si>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</si>
  <si>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</si>
  <si>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</si>
  <si>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</si>
  <si>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</si>
  <si>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</si>
  <si>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</si>
  <si>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</si>
  <si>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</si>
  <si>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</si>
  <si>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</si>
  <si>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</si>
  <si>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</si>
  <si>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</si>
  <si>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</si>
  <si>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</si>
  <si>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</si>
  <si>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</si>
  <si>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</si>
  <si>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</si>
  <si>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</si>
  <si>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</si>
  <si>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</si>
  <si>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</si>
  <si>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</si>
  <si>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</si>
  <si>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</si>
  <si>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</si>
  <si>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</si>
  <si>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Credit Cards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</si>
  <si>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</si>
  <si>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</si>
  <si>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</si>
  <si>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</si>
  <si>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</si>
  <si>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</si>
  <si>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</si>
  <si>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</si>
  <si>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</si>
  <si>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</si>
  <si>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</si>
  <si>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</si>
  <si>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</si>
  <si>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</si>
  <si>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</si>
  <si>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</si>
  <si>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</si>
  <si>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</si>
  <si>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</si>
  <si>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</si>
  <si>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</si>
  <si>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</si>
  <si>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</si>
  <si>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</si>
  <si>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</si>
  <si>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</si>
  <si>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</si>
  <si>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</si>
  <si>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</si>
  <si>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</si>
  <si>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</si>
  <si>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</si>
  <si>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</si>
  <si>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</si>
  <si>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</si>
  <si>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</si>
  <si>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</si>
  <si>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</si>
  <si>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</si>
  <si>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</si>
  <si>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</si>
  <si>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</si>
  <si>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</si>
  <si>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</si>
  <si>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</si>
  <si>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</si>
  <si>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</si>
  <si>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</si>
  <si>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</si>
  <si>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</si>
  <si>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</si>
  <si>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</si>
  <si>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</si>
  <si>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</si>
  <si>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</si>
  <si>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</si>
  <si>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</si>
  <si>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</si>
  <si>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</si>
  <si>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</si>
  <si>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</si>
  <si>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</si>
  <si>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</si>
  <si>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</si>
  <si>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</si>
  <si>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</si>
  <si>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</si>
  <si>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</si>
  <si>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</si>
  <si>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</si>
  <si>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</si>
  <si>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</si>
  <si>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</si>
  <si>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</si>
  <si>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</si>
  <si>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</si>
  <si>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1-13 2026</t>
  </si>
  <si>
    <t>Total</t>
  </si>
  <si>
    <t>Accrual Basis Saturday, June 13, 2026 03:04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</si>
</sst>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36"/>
  <sheetViews>
    <sheetView tabSelected="1" workbookViewId="0" topLeftCell="A1"/>
  </sheetViews>
  <sheetFormatPr defaultColWidth="11.255" defaultRowHeight="16"/>
  <cols>
    <col min="1" max="1" width="32.375" style="42" customWidth="1"/>
    <col min="2" max="2" width="17" style="42" customWidth="1"/>
    <col min="3" max="6" width="16.125" style="42" customWidth="1"/>
    <col min="7" max="7" width="17" style="42" customWidth="1"/>
    <col min="8" max="8" width="16.125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8" ht="16">
      <c r="A5" s="44" t="s">
        <v>130</v>
      </c>
      <c r="B5" s="48" t="s">
        <v>131</v>
      </c>
      <c r="C5" s="48" t="s">
        <v>132</v>
      </c>
      <c r="D5" s="48" t="s">
        <v>133</v>
      </c>
      <c r="E5" s="48" t="s">
        <v>134</v>
      </c>
      <c r="F5" s="48" t="s">
        <v>135</v>
      </c>
      <c r="G5" s="48" t="s">
        <v>136</v>
      </c>
      <c r="H5" s="48" t="s">
        <v>137</v>
      </c>
    </row>
    <row r="6" spans="1:7" ht="16">
      <c r="A6" s="35" t="s">
        <v>3</v>
      </c>
      <c r="B6" s="45"/>
      <c r="C6" s="45"/>
      <c r="D6" s="45"/>
      <c r="E6" s="45"/>
      <c r="F6" s="45"/>
      <c r="G6" s="45"/>
    </row>
    <row r="7" spans="1:8" ht="16">
      <c r="A7" s="36" t="s">
        <v>4</v>
      </c>
      <c r="B7" s="45"/>
      <c r="C7" s="45"/>
      <c r="D7" s="46">
        <v>14995.0</v>
      </c>
      <c r="E7" s="46">
        <v>189459.51</v>
      </c>
      <c r="F7" s="46">
        <v>123864.9</v>
      </c>
      <c r="G7" s="46">
        <v>73392.5</v>
      </c>
      <c r="H7" s="46">
        <f>B7+C7+D7+E7+F7+G7</f>
        <v>401711.91000000003</v>
      </c>
    </row>
    <row r="8" spans="1:8" ht="16">
      <c r="A8" s="36" t="s">
        <v>5</v>
      </c>
      <c r="B8" s="46">
        <v>663460.14</v>
      </c>
      <c r="C8" s="46">
        <v>1264154.09</v>
      </c>
      <c r="D8" s="46">
        <v>1734333.27</v>
      </c>
      <c r="E8" s="46">
        <v>1325895.61</v>
      </c>
      <c r="F8" s="46">
        <v>1869803.06</v>
      </c>
      <c r="G8" s="46">
        <v>419554.5</v>
      </c>
      <c r="H8" s="46">
        <f>B8+C8+D8+E8+F8+G8</f>
        <v>7277200.67</v>
      </c>
    </row>
    <row r="9" spans="1:8" ht="16">
      <c r="A9" s="36" t="s">
        <v>6</v>
      </c>
      <c r="B9" s="46">
        <v>14947.25</v>
      </c>
      <c r="C9" s="46">
        <v>6636.5</v>
      </c>
      <c r="D9" s="46">
        <v>18161.7</v>
      </c>
      <c r="E9" s="46">
        <v>1781.88</v>
      </c>
      <c r="F9" s="46">
        <v>17407.72</v>
      </c>
      <c r="G9" s="46">
        <v>3277.45</v>
      </c>
      <c r="H9" s="46">
        <f>B9+C9+D9+E9+F9+G9</f>
        <v>62212.49999999999</v>
      </c>
    </row>
    <row r="10" spans="1:8" ht="16">
      <c r="A10" s="36" t="s">
        <v>7</v>
      </c>
      <c r="B10" s="46">
        <v>314754.4</v>
      </c>
      <c r="C10" s="46">
        <v>337043.15</v>
      </c>
      <c r="D10" s="46">
        <v>522550.51</v>
      </c>
      <c r="E10" s="46">
        <v>643584.16</v>
      </c>
      <c r="F10" s="46">
        <v>714397.91</v>
      </c>
      <c r="G10" s="46">
        <v>310032.06</v>
      </c>
      <c r="H10" s="46">
        <f>B10+C10+D10+E10+F10+G10</f>
        <v>2842362.1900000004</v>
      </c>
    </row>
    <row r="11" spans="1:8" ht="16">
      <c r="A11" s="37" t="s">
        <v>8</v>
      </c>
      <c r="B11" s="47">
        <f>B6+B7+B8+B9+B10</f>
        <v>993161.79</v>
      </c>
      <c r="C11" s="47">
        <f>C6+C7+C8+C9+C10</f>
        <v>1607833.7400000002</v>
      </c>
      <c r="D11" s="47">
        <f>D6+D7+D8+D9+D10</f>
        <v>2290040.48</v>
      </c>
      <c r="E11" s="47">
        <f>E6+E7+E8+E9+E10</f>
        <v>2160721.16</v>
      </c>
      <c r="F11" s="47">
        <f>F6+F7+F8+F9+F10</f>
        <v>2725473.59</v>
      </c>
      <c r="G11" s="47">
        <f>G6+G7+G8+G9+G10</f>
        <v>806256.51</v>
      </c>
      <c r="H11" s="49">
        <f>B11+C11+D11+E11+F11+G11</f>
        <v>1.058348727E7</v>
      </c>
    </row>
    <row r="12" spans="1:7" ht="16">
      <c r="A12" s="35" t="s">
        <v>9</v>
      </c>
      <c r="B12" s="45"/>
      <c r="C12" s="45"/>
      <c r="D12" s="45"/>
      <c r="E12" s="45"/>
      <c r="F12" s="45"/>
      <c r="G12" s="45"/>
    </row>
    <row r="13" spans="1:8" ht="16">
      <c r="A13" s="36" t="s">
        <v>10</v>
      </c>
      <c r="B13" s="46">
        <v>497223.26</v>
      </c>
      <c r="C13" s="46">
        <v>894241.0</v>
      </c>
      <c r="D13" s="46">
        <v>1162575.47</v>
      </c>
      <c r="E13" s="46">
        <v>1045803.96</v>
      </c>
      <c r="F13" s="46">
        <v>1341666.15</v>
      </c>
      <c r="G13" s="46">
        <v>347607.5</v>
      </c>
      <c r="H13" s="46">
        <f>B13+C13+D13+E13+F13+G13</f>
        <v>5289117.34</v>
      </c>
    </row>
    <row r="14" spans="1:8" ht="16">
      <c r="A14" s="36" t="s">
        <v>11</v>
      </c>
      <c r="B14" s="45"/>
      <c r="C14" s="45"/>
      <c r="D14" s="46">
        <v>4007.4</v>
      </c>
      <c r="E14" s="46">
        <v>7437.81</v>
      </c>
      <c r="F14" s="46">
        <v>8227.16</v>
      </c>
      <c r="G14" s="46">
        <v>4231.98</v>
      </c>
      <c r="H14" s="46">
        <f>B14+C14+D14+E14+F14+G14</f>
        <v>23904.350000000002</v>
      </c>
    </row>
    <row r="15" spans="1:8" ht="16">
      <c r="A15" s="36" t="s">
        <v>12</v>
      </c>
      <c r="B15" s="46">
        <v>15005.03</v>
      </c>
      <c r="C15" s="46">
        <v>30474.92</v>
      </c>
      <c r="D15" s="46">
        <v>9599.65</v>
      </c>
      <c r="E15" s="45"/>
      <c r="F15" s="45"/>
      <c r="G15" s="45"/>
      <c r="H15" s="46">
        <f>B15+C15+D15+E15+F15+G15</f>
        <v>55079.6</v>
      </c>
    </row>
    <row r="16" spans="1:8" ht="16">
      <c r="A16" s="37" t="s">
        <v>13</v>
      </c>
      <c r="B16" s="47">
        <f>B12+B13+B14+B15</f>
        <v>512228.29000000004</v>
      </c>
      <c r="C16" s="47">
        <f>C12+C13+C14+C15</f>
        <v>924715.92</v>
      </c>
      <c r="D16" s="47">
        <f>D12+D13+D14+D15</f>
        <v>1176182.5199999998</v>
      </c>
      <c r="E16" s="47">
        <f>E12+E13+E14+E15</f>
        <v>1053241.77</v>
      </c>
      <c r="F16" s="47">
        <f>F12+F13+F14+F15</f>
        <v>1349893.3099999998</v>
      </c>
      <c r="G16" s="47">
        <f>G12+G13+G14+G15</f>
        <v>351839.48</v>
      </c>
      <c r="H16" s="49">
        <f>B16+C16+D16+E16+F16+G16</f>
        <v>5368101.289999999</v>
      </c>
    </row>
    <row r="17" spans="1:8" ht="16">
      <c r="A17" s="37" t="s">
        <v>14</v>
      </c>
      <c r="B17" s="47">
        <f>B11-B16</f>
        <v>480933.5</v>
      </c>
      <c r="C17" s="47">
        <f>C11-C16</f>
        <v>683117.8200000002</v>
      </c>
      <c r="D17" s="47">
        <f>D11-D16</f>
        <v>1113857.9600000002</v>
      </c>
      <c r="E17" s="47">
        <f>E11-E16</f>
        <v>1107479.3900000001</v>
      </c>
      <c r="F17" s="47">
        <f>F11-F16</f>
        <v>1375580.28</v>
      </c>
      <c r="G17" s="47">
        <f>G11-G16</f>
        <v>454417.03</v>
      </c>
      <c r="H17" s="49">
        <f>B17+C17+D17+E17+F17+G17</f>
        <v>5215385.98</v>
      </c>
    </row>
    <row r="18" spans="1:7" ht="16">
      <c r="A18" s="35" t="s">
        <v>15</v>
      </c>
      <c r="B18" s="45"/>
      <c r="C18" s="45"/>
      <c r="D18" s="45"/>
      <c r="E18" s="45"/>
      <c r="F18" s="45"/>
      <c r="G18" s="45"/>
    </row>
    <row r="19" spans="1:8" ht="16">
      <c r="A19" s="36" t="s">
        <v>16</v>
      </c>
      <c r="B19" s="46">
        <v>9780.22</v>
      </c>
      <c r="C19" s="46">
        <v>9686.34</v>
      </c>
      <c r="D19" s="46">
        <v>10642.57</v>
      </c>
      <c r="E19" s="46">
        <v>11682.41</v>
      </c>
      <c r="F19" s="46">
        <v>15857.61</v>
      </c>
      <c r="G19" s="46">
        <v>6054.38</v>
      </c>
      <c r="H19" s="46">
        <f>B19+C19+D19+E19+F19+G19</f>
        <v>63703.52999999999</v>
      </c>
    </row>
    <row r="20" spans="1:8" ht="16">
      <c r="A20" s="36" t="s">
        <v>17</v>
      </c>
      <c r="B20" s="46">
        <v>251.0</v>
      </c>
      <c r="C20" s="46">
        <v>17.66</v>
      </c>
      <c r="D20" s="46">
        <v>46.4</v>
      </c>
      <c r="E20" s="46">
        <v>132.93</v>
      </c>
      <c r="F20" s="46">
        <v>110.8</v>
      </c>
      <c r="G20" s="46">
        <v>52.8</v>
      </c>
      <c r="H20" s="46">
        <f>B20+C20+D20+E20+F20+G20</f>
        <v>611.5899999999999</v>
      </c>
    </row>
    <row r="21" spans="1:8" ht="16">
      <c r="A21" s="36" t="s">
        <v>18</v>
      </c>
      <c r="B21" s="45"/>
      <c r="C21" s="45"/>
      <c r="D21" s="45"/>
      <c r="E21" s="45"/>
      <c r="F21" s="45"/>
      <c r="G21" s="45"/>
      <c r="H21" s="45"/>
    </row>
    <row r="22" spans="1:8" ht="16">
      <c r="A22" s="38" t="s">
        <v>19</v>
      </c>
      <c r="B22" s="45"/>
      <c r="C22" s="45"/>
      <c r="D22" s="45"/>
      <c r="E22" s="45"/>
      <c r="F22" s="46">
        <v>3360.22</v>
      </c>
      <c r="G22" s="46">
        <v>1680.11</v>
      </c>
      <c r="H22" s="46">
        <f>B22+C22+D22+E22+F22+G22</f>
        <v>5040.33</v>
      </c>
    </row>
    <row r="23" spans="1:8" ht="16">
      <c r="A23" s="38" t="s">
        <v>20</v>
      </c>
      <c r="B23" s="45"/>
      <c r="C23" s="45"/>
      <c r="D23" s="45"/>
      <c r="E23" s="46">
        <v>7000.0</v>
      </c>
      <c r="F23" s="46">
        <v>1093.46</v>
      </c>
      <c r="G23" s="45"/>
      <c r="H23" s="46">
        <f>B23+C23+D23+E23+F23+G23</f>
        <v>8093.46</v>
      </c>
    </row>
    <row r="24" spans="1:8" ht="16">
      <c r="A24" s="38" t="s">
        <v>21</v>
      </c>
      <c r="B24" s="45"/>
      <c r="C24" s="45"/>
      <c r="D24" s="45"/>
      <c r="E24" s="45"/>
      <c r="F24" s="46">
        <v>30000.0</v>
      </c>
      <c r="G24" s="45"/>
      <c r="H24" s="46">
        <f>B24+C24+D24+E24+F24+G24</f>
        <v>30000.0</v>
      </c>
    </row>
    <row r="25" spans="1:8" ht="16">
      <c r="A25" s="38" t="s">
        <v>22</v>
      </c>
      <c r="B25" s="46">
        <v>2100.0</v>
      </c>
      <c r="C25" s="46">
        <v>2100.0</v>
      </c>
      <c r="D25" s="46">
        <v>2100.0</v>
      </c>
      <c r="E25" s="46">
        <v>2100.0</v>
      </c>
      <c r="F25" s="46">
        <v>2100.0</v>
      </c>
      <c r="G25" s="45"/>
      <c r="H25" s="46">
        <f>B25+C25+D25+E25+F25+G25</f>
        <v>10500.0</v>
      </c>
    </row>
    <row r="26" spans="1:8" ht="16">
      <c r="A26" s="38" t="s">
        <v>23</v>
      </c>
      <c r="B26" s="46">
        <v>2025.49</v>
      </c>
      <c r="C26" s="46">
        <v>2025.49</v>
      </c>
      <c r="D26" s="46">
        <v>2025.49</v>
      </c>
      <c r="E26" s="45"/>
      <c r="F26" s="45"/>
      <c r="G26" s="45"/>
      <c r="H26" s="46">
        <f>B26+C26+D26+E26+F26+G26</f>
        <v>6076.47</v>
      </c>
    </row>
    <row r="27" spans="1:8" ht="16">
      <c r="A27" s="38" t="s">
        <v>24</v>
      </c>
      <c r="B27" s="46">
        <v>1228.83</v>
      </c>
      <c r="C27" s="46">
        <v>1228.83</v>
      </c>
      <c r="D27" s="46">
        <v>1228.83</v>
      </c>
      <c r="E27" s="46">
        <v>1228.83</v>
      </c>
      <c r="F27" s="46">
        <v>1228.83</v>
      </c>
      <c r="G27" s="45"/>
      <c r="H27" s="46">
        <f>B27+C27+D27+E27+F27+G27</f>
        <v>6144.15</v>
      </c>
    </row>
    <row r="28" spans="1:8" ht="16">
      <c r="A28" s="38" t="s">
        <v>25</v>
      </c>
      <c r="B28" s="46">
        <v>1287.92</v>
      </c>
      <c r="C28" s="46">
        <v>1287.92</v>
      </c>
      <c r="D28" s="46">
        <v>1287.92</v>
      </c>
      <c r="E28" s="46">
        <v>1287.92</v>
      </c>
      <c r="F28" s="46">
        <v>1287.92</v>
      </c>
      <c r="G28" s="45"/>
      <c r="H28" s="46">
        <f>B28+C28+D28+E28+F28+G28</f>
        <v>6439.6</v>
      </c>
    </row>
    <row r="29" spans="1:8" ht="16">
      <c r="A29" s="38" t="s">
        <v>26</v>
      </c>
      <c r="B29" s="45"/>
      <c r="C29" s="45"/>
      <c r="D29" s="45"/>
      <c r="E29" s="46">
        <v>4345.09</v>
      </c>
      <c r="F29" s="46">
        <v>665.67</v>
      </c>
      <c r="G29" s="45"/>
      <c r="H29" s="46">
        <f>B29+C29+D29+E29+F29+G29</f>
        <v>5010.76</v>
      </c>
    </row>
    <row r="30" spans="1:8" ht="16">
      <c r="A30" s="39" t="s">
        <v>27</v>
      </c>
      <c r="B30" s="47">
        <f>B21+B22+B23+B24+B25+B26+B27+B28+B29</f>
        <v>6642.24</v>
      </c>
      <c r="C30" s="47">
        <f>C21+C22+C23+C24+C25+C26+C27+C28+C29</f>
        <v>6642.24</v>
      </c>
      <c r="D30" s="47">
        <f>D21+D22+D23+D24+D25+D26+D27+D28+D29</f>
        <v>6642.24</v>
      </c>
      <c r="E30" s="47">
        <f>E21+E22+E23+E24+E25+E26+E27+E28+E29</f>
        <v>15961.84</v>
      </c>
      <c r="F30" s="47">
        <f>F21+F22+F23+F24+F25+F26+F27+F28+F29</f>
        <v>39736.1</v>
      </c>
      <c r="G30" s="47">
        <f>G21+G22+G23+G24+G25+G26+G27+G28+G29</f>
        <v>1680.11</v>
      </c>
      <c r="H30" s="49">
        <f>B30+C30+D30+E30+F30+G30</f>
        <v>77304.77</v>
      </c>
    </row>
    <row r="31" spans="1:8" ht="16">
      <c r="A31" s="36" t="s">
        <v>28</v>
      </c>
      <c r="B31" s="45"/>
      <c r="C31" s="45"/>
      <c r="D31" s="45"/>
      <c r="E31" s="45"/>
      <c r="F31" s="45"/>
      <c r="G31" s="45"/>
      <c r="H31" s="45"/>
    </row>
    <row r="32" spans="1:8" ht="16">
      <c r="A32" s="38" t="s">
        <v>29</v>
      </c>
      <c r="B32" s="45"/>
      <c r="C32" s="45"/>
      <c r="D32" s="45"/>
      <c r="E32" s="46">
        <v>3000.0</v>
      </c>
      <c r="F32" s="46">
        <v>3000.0</v>
      </c>
      <c r="G32" s="46">
        <v>3000.0</v>
      </c>
      <c r="H32" s="46">
        <f>B32+C32+D32+E32+F32+G32</f>
        <v>9000.0</v>
      </c>
    </row>
    <row r="33" spans="1:8" ht="16">
      <c r="A33" s="38" t="s">
        <v>30</v>
      </c>
      <c r="B33" s="46">
        <v>3000.0</v>
      </c>
      <c r="C33" s="46">
        <v>3000.0</v>
      </c>
      <c r="D33" s="46">
        <v>3000.0</v>
      </c>
      <c r="E33" s="46">
        <v>3000.0</v>
      </c>
      <c r="F33" s="46">
        <v>3000.0</v>
      </c>
      <c r="G33" s="45"/>
      <c r="H33" s="46">
        <f>B33+C33+D33+E33+F33+G33</f>
        <v>15000.0</v>
      </c>
    </row>
    <row r="34" spans="1:8" ht="16">
      <c r="A34" s="38" t="s">
        <v>31</v>
      </c>
      <c r="B34" s="46">
        <v>46500.0</v>
      </c>
      <c r="C34" s="46">
        <v>6500.0</v>
      </c>
      <c r="D34" s="46">
        <v>6500.0</v>
      </c>
      <c r="E34" s="46">
        <v>6500.0</v>
      </c>
      <c r="F34" s="46">
        <v>6500.0</v>
      </c>
      <c r="G34" s="45"/>
      <c r="H34" s="46">
        <f>B34+C34+D34+E34+F34+G34</f>
        <v>72500.0</v>
      </c>
    </row>
    <row r="35" spans="1:8" ht="16">
      <c r="A35" s="39" t="s">
        <v>32</v>
      </c>
      <c r="B35" s="47">
        <f>B31+B32+B33+B34</f>
        <v>49500.0</v>
      </c>
      <c r="C35" s="47">
        <f>C31+C32+C33+C34</f>
        <v>9500.0</v>
      </c>
      <c r="D35" s="47">
        <f>D31+D32+D33+D34</f>
        <v>9500.0</v>
      </c>
      <c r="E35" s="47">
        <f>E31+E32+E33+E34</f>
        <v>12500.0</v>
      </c>
      <c r="F35" s="47">
        <f>F31+F32+F33+F34</f>
        <v>12500.0</v>
      </c>
      <c r="G35" s="47">
        <f>G31+G32+G33+G34</f>
        <v>3000.0</v>
      </c>
      <c r="H35" s="49">
        <f>B35+C35+D35+E35+F35+G35</f>
        <v>96500.0</v>
      </c>
    </row>
    <row r="36" spans="1:8" ht="16">
      <c r="A36" s="36" t="s">
        <v>33</v>
      </c>
      <c r="B36" s="46">
        <v>2436.12</v>
      </c>
      <c r="C36" s="46">
        <v>1601.08</v>
      </c>
      <c r="D36" s="46">
        <v>1805.51</v>
      </c>
      <c r="E36" s="46">
        <v>-3849.92</v>
      </c>
      <c r="F36" s="46">
        <v>1570.35</v>
      </c>
      <c r="G36" s="46">
        <v>1416.78</v>
      </c>
      <c r="H36" s="46">
        <f>B36+C36+D36+E36+F36+G36</f>
        <v>4979.92</v>
      </c>
    </row>
    <row r="37" spans="1:8" ht="16">
      <c r="A37" s="36" t="s">
        <v>34</v>
      </c>
      <c r="B37" s="45"/>
      <c r="C37" s="46">
        <v>650.0</v>
      </c>
      <c r="D37" s="45"/>
      <c r="E37" s="46">
        <v>750.0</v>
      </c>
      <c r="F37" s="45"/>
      <c r="G37" s="46">
        <v>685.0</v>
      </c>
      <c r="H37" s="46">
        <f>B37+C37+D37+E37+F37+G37</f>
        <v>2085.0</v>
      </c>
    </row>
    <row r="38" spans="1:8" ht="16">
      <c r="A38" s="36" t="s">
        <v>35</v>
      </c>
      <c r="B38" s="45"/>
      <c r="C38" s="45"/>
      <c r="D38" s="45"/>
      <c r="E38" s="45"/>
      <c r="F38" s="45"/>
      <c r="G38" s="45"/>
      <c r="H38" s="45"/>
    </row>
    <row r="39" spans="1:8" ht="16">
      <c r="A39" s="38" t="s">
        <v>36</v>
      </c>
      <c r="B39" s="46">
        <v>620.0</v>
      </c>
      <c r="C39" s="46">
        <v>613.25</v>
      </c>
      <c r="D39" s="46">
        <v>1147.5</v>
      </c>
      <c r="E39" s="46">
        <v>1925.0</v>
      </c>
      <c r="F39" s="46">
        <v>4082.62</v>
      </c>
      <c r="G39" s="45"/>
      <c r="H39" s="46">
        <f>B39+C39+D39+E39+F39+G39</f>
        <v>8388.369999999999</v>
      </c>
    </row>
    <row r="40" spans="1:8" ht="16">
      <c r="A40" s="38" t="s">
        <v>37</v>
      </c>
      <c r="B40" s="45"/>
      <c r="C40" s="45"/>
      <c r="D40" s="46">
        <v>825.0</v>
      </c>
      <c r="E40" s="45"/>
      <c r="F40" s="46">
        <v>188.64</v>
      </c>
      <c r="G40" s="45"/>
      <c r="H40" s="46">
        <f>B40+C40+D40+E40+F40+G40</f>
        <v>1013.64</v>
      </c>
    </row>
    <row r="41" spans="1:8" ht="16">
      <c r="A41" s="38" t="s">
        <v>38</v>
      </c>
      <c r="B41" s="46">
        <v>4000.0</v>
      </c>
      <c r="C41" s="46">
        <v>4000.0</v>
      </c>
      <c r="D41" s="46">
        <v>5000.0</v>
      </c>
      <c r="E41" s="46">
        <v>4000.0</v>
      </c>
      <c r="F41" s="46">
        <v>4000.0</v>
      </c>
      <c r="G41" s="46">
        <v>2000.0</v>
      </c>
      <c r="H41" s="46">
        <f>B41+C41+D41+E41+F41+G41</f>
        <v>23000.0</v>
      </c>
    </row>
    <row r="42" spans="1:8" ht="16">
      <c r="A42" s="38" t="s">
        <v>39</v>
      </c>
      <c r="B42" s="46">
        <v>523.11</v>
      </c>
      <c r="C42" s="45"/>
      <c r="D42" s="45"/>
      <c r="E42" s="45"/>
      <c r="F42" s="45"/>
      <c r="G42" s="45"/>
      <c r="H42" s="46">
        <f>B42+C42+D42+E42+F42+G42</f>
        <v>523.11</v>
      </c>
    </row>
    <row r="43" spans="1:8" ht="16">
      <c r="A43" s="38" t="s">
        <v>40</v>
      </c>
      <c r="B43" s="46">
        <v>2190.0</v>
      </c>
      <c r="C43" s="46">
        <v>2200.0</v>
      </c>
      <c r="D43" s="45"/>
      <c r="E43" s="46">
        <v>2200.0</v>
      </c>
      <c r="F43" s="45"/>
      <c r="G43" s="46">
        <v>2200.0</v>
      </c>
      <c r="H43" s="46">
        <f>B43+C43+D43+E43+F43+G43</f>
        <v>8790.0</v>
      </c>
    </row>
    <row r="44" spans="1:8" ht="16">
      <c r="A44" s="38" t="s">
        <v>41</v>
      </c>
      <c r="B44" s="46">
        <v>195.86</v>
      </c>
      <c r="C44" s="46">
        <v>188.64</v>
      </c>
      <c r="D44" s="45"/>
      <c r="E44" s="45"/>
      <c r="F44" s="45"/>
      <c r="G44" s="45"/>
      <c r="H44" s="46">
        <f>B44+C44+D44+E44+F44+G44</f>
        <v>384.5</v>
      </c>
    </row>
    <row r="45" spans="1:8" ht="16">
      <c r="A45" s="38" t="s">
        <v>42</v>
      </c>
      <c r="B45" s="45"/>
      <c r="C45" s="45"/>
      <c r="D45" s="46">
        <v>6810.0</v>
      </c>
      <c r="E45" s="46">
        <v>6810.24</v>
      </c>
      <c r="F45" s="45"/>
      <c r="G45" s="45"/>
      <c r="H45" s="46">
        <f>B45+C45+D45+E45+F45+G45</f>
        <v>13620.24</v>
      </c>
    </row>
    <row r="46" spans="1:8" ht="16">
      <c r="A46" s="38" t="s">
        <v>43</v>
      </c>
      <c r="B46" s="46">
        <v>7715.0</v>
      </c>
      <c r="C46" s="46">
        <v>9700.0</v>
      </c>
      <c r="D46" s="46">
        <v>9400.0</v>
      </c>
      <c r="E46" s="46">
        <v>15378.0</v>
      </c>
      <c r="F46" s="46">
        <v>9821.0</v>
      </c>
      <c r="G46" s="46">
        <v>1000.0</v>
      </c>
      <c r="H46" s="46">
        <f>B46+C46+D46+E46+F46+G46</f>
        <v>53014.0</v>
      </c>
    </row>
    <row r="47" spans="1:8" ht="16">
      <c r="A47" s="38" t="s">
        <v>44</v>
      </c>
      <c r="B47" s="45"/>
      <c r="C47" s="45"/>
      <c r="D47" s="45"/>
      <c r="E47" s="46">
        <v>10000.0</v>
      </c>
      <c r="F47" s="46">
        <v>22000.0</v>
      </c>
      <c r="G47" s="46">
        <v>10000.0</v>
      </c>
      <c r="H47" s="46">
        <f>B47+C47+D47+E47+F47+G47</f>
        <v>42000.0</v>
      </c>
    </row>
    <row r="48" spans="1:8" ht="16">
      <c r="A48" s="38" t="s">
        <v>45</v>
      </c>
      <c r="B48" s="45"/>
      <c r="C48" s="45"/>
      <c r="D48" s="45"/>
      <c r="E48" s="45"/>
      <c r="F48" s="45"/>
      <c r="G48" s="45"/>
      <c r="H48" s="45"/>
    </row>
    <row r="49" spans="1:8" ht="16">
      <c r="A49" s="40" t="s">
        <v>46</v>
      </c>
      <c r="B49" s="46">
        <v>2854.98</v>
      </c>
      <c r="C49" s="45"/>
      <c r="D49" s="45"/>
      <c r="E49" s="45"/>
      <c r="F49" s="45"/>
      <c r="G49" s="45"/>
      <c r="H49" s="46">
        <f>B49+C49+D49+E49+F49+G49</f>
        <v>2854.98</v>
      </c>
    </row>
    <row r="50" spans="1:8" ht="16">
      <c r="A50" s="40" t="s">
        <v>47</v>
      </c>
      <c r="B50" s="46">
        <v>1031.19</v>
      </c>
      <c r="C50" s="45"/>
      <c r="D50" s="45"/>
      <c r="E50" s="45"/>
      <c r="F50" s="45"/>
      <c r="G50" s="45"/>
      <c r="H50" s="46">
        <f>B50+C50+D50+E50+F50+G50</f>
        <v>1031.19</v>
      </c>
    </row>
    <row r="51" spans="1:8" ht="16">
      <c r="A51" s="40" t="s">
        <v>48</v>
      </c>
      <c r="B51" s="46">
        <v>214.13</v>
      </c>
      <c r="C51" s="45"/>
      <c r="D51" s="45"/>
      <c r="E51" s="45"/>
      <c r="F51" s="45"/>
      <c r="G51" s="45"/>
      <c r="H51" s="46">
        <f>B51+C51+D51+E51+F51+G51</f>
        <v>214.13</v>
      </c>
    </row>
    <row r="52" spans="1:8" ht="16">
      <c r="A52" s="41" t="s">
        <v>49</v>
      </c>
      <c r="B52" s="47">
        <f>B48+B49+B50+B51</f>
        <v>4100.3</v>
      </c>
      <c r="C52" s="49">
        <f>C48+C49+C50+C51</f>
        <v>0.0</v>
      </c>
      <c r="D52" s="49">
        <f>D48+D49+D50+D51</f>
        <v>0.0</v>
      </c>
      <c r="E52" s="49">
        <f>E48+E49+E50+E51</f>
        <v>0.0</v>
      </c>
      <c r="F52" s="49">
        <f>F48+F49+F50+F51</f>
        <v>0.0</v>
      </c>
      <c r="G52" s="49">
        <f>G48+G49+G50+G51</f>
        <v>0.0</v>
      </c>
      <c r="H52" s="49">
        <f>B52+C52+D52+E52+F52+G52</f>
        <v>4100.3</v>
      </c>
    </row>
    <row r="53" spans="1:8" ht="16">
      <c r="A53" s="38" t="s">
        <v>50</v>
      </c>
      <c r="B53" s="45"/>
      <c r="C53" s="45"/>
      <c r="D53" s="45"/>
      <c r="E53" s="46">
        <v>250.0</v>
      </c>
      <c r="F53" s="46">
        <v>895.0</v>
      </c>
      <c r="G53" s="45"/>
      <c r="H53" s="46">
        <f>B53+C53+D53+E53+F53+G53</f>
        <v>1145.0</v>
      </c>
    </row>
    <row r="54" spans="1:8" ht="16">
      <c r="A54" s="39" t="s">
        <v>51</v>
      </c>
      <c r="B54" s="47">
        <f>B38+B39+B40+B41+B42+B43+B44+B45+B46+B47+B52+B53</f>
        <v>19344.27</v>
      </c>
      <c r="C54" s="47">
        <f>C38+C39+C40+C41+C42+C43+C44+C45+C46+C47+C52+C53</f>
        <v>16701.89</v>
      </c>
      <c r="D54" s="47">
        <f>D38+D39+D40+D41+D42+D43+D44+D45+D46+D47+D52+D53</f>
        <v>23182.5</v>
      </c>
      <c r="E54" s="47">
        <f>E38+E39+E40+E41+E42+E43+E44+E45+E46+E47+E52+E53</f>
        <v>40563.24</v>
      </c>
      <c r="F54" s="47">
        <f>F38+F39+F40+F41+F42+F43+F44+F45+F46+F47+F52+F53</f>
        <v>40987.26</v>
      </c>
      <c r="G54" s="47">
        <f>G38+G39+G40+G41+G42+G43+G44+G45+G46+G47+G52+G53</f>
        <v>15200.0</v>
      </c>
      <c r="H54" s="49">
        <f>B54+C54+D54+E54+F54+G54</f>
        <v>155979.16</v>
      </c>
    </row>
    <row r="55" spans="1:8" ht="16">
      <c r="A55" s="36" t="s">
        <v>52</v>
      </c>
      <c r="B55" s="46">
        <v>438.0</v>
      </c>
      <c r="C55" s="46">
        <v>369.0</v>
      </c>
      <c r="D55" s="46">
        <v>1043.5</v>
      </c>
      <c r="E55" s="46">
        <v>915.5</v>
      </c>
      <c r="F55" s="46">
        <v>759.75</v>
      </c>
      <c r="G55" s="46">
        <v>296.0</v>
      </c>
      <c r="H55" s="46">
        <f>B55+C55+D55+E55+F55+G55</f>
        <v>3821.75</v>
      </c>
    </row>
    <row r="56" spans="1:8" ht="16">
      <c r="A56" s="36" t="s">
        <v>53</v>
      </c>
      <c r="B56" s="45"/>
      <c r="C56" s="45"/>
      <c r="D56" s="45"/>
      <c r="E56" s="46">
        <v>39.76</v>
      </c>
      <c r="F56" s="46">
        <v>164.15</v>
      </c>
      <c r="G56" s="46">
        <v>76.8</v>
      </c>
      <c r="H56" s="46">
        <f>B56+C56+D56+E56+F56+G56</f>
        <v>280.71</v>
      </c>
    </row>
    <row r="57" spans="1:8" ht="16">
      <c r="A57" s="36" t="s">
        <v>54</v>
      </c>
      <c r="B57" s="46">
        <v>1432.58</v>
      </c>
      <c r="C57" s="46">
        <v>123.0</v>
      </c>
      <c r="D57" s="46">
        <v>613.13</v>
      </c>
      <c r="E57" s="46">
        <v>585.17</v>
      </c>
      <c r="F57" s="46">
        <v>20586.77</v>
      </c>
      <c r="G57" s="45"/>
      <c r="H57" s="46">
        <f>B57+C57+D57+E57+F57+G57</f>
        <v>23340.65</v>
      </c>
    </row>
    <row r="58" spans="1:8" ht="16">
      <c r="A58" s="36" t="s">
        <v>55</v>
      </c>
      <c r="B58" s="46">
        <v>16071.64</v>
      </c>
      <c r="C58" s="46">
        <v>18704.95</v>
      </c>
      <c r="D58" s="46">
        <v>14049.06</v>
      </c>
      <c r="E58" s="46">
        <v>16645.48</v>
      </c>
      <c r="F58" s="46">
        <v>18319.92</v>
      </c>
      <c r="G58" s="46">
        <v>7789.74</v>
      </c>
      <c r="H58" s="46">
        <f>B58+C58+D58+E58+F58+G58</f>
        <v>91580.79</v>
      </c>
    </row>
    <row r="59" spans="1:8" ht="16">
      <c r="A59" s="36" t="s">
        <v>56</v>
      </c>
      <c r="B59" s="46">
        <v>600.0</v>
      </c>
      <c r="C59" s="46">
        <v>474.22</v>
      </c>
      <c r="D59" s="46">
        <v>1821.84</v>
      </c>
      <c r="E59" s="46">
        <v>1620.0</v>
      </c>
      <c r="F59" s="46">
        <v>10274.0</v>
      </c>
      <c r="G59" s="46">
        <v>2381.58</v>
      </c>
      <c r="H59" s="46">
        <f>B59+C59+D59+E59+F59+G59</f>
        <v>17171.64</v>
      </c>
    </row>
    <row r="60" spans="1:8" ht="16">
      <c r="A60" s="38" t="s">
        <v>57</v>
      </c>
      <c r="B60" s="46">
        <v>12538.75</v>
      </c>
      <c r="C60" s="46">
        <v>19386.25</v>
      </c>
      <c r="D60" s="46">
        <v>13627.0</v>
      </c>
      <c r="E60" s="46">
        <v>1682.5</v>
      </c>
      <c r="F60" s="46">
        <v>52391.8</v>
      </c>
      <c r="G60" s="46">
        <v>45675.0</v>
      </c>
      <c r="H60" s="46">
        <f>B60+C60+D60+E60+F60+G60</f>
        <v>145301.3</v>
      </c>
    </row>
    <row r="61" spans="1:8" ht="16">
      <c r="A61" s="39" t="s">
        <v>58</v>
      </c>
      <c r="B61" s="47">
        <f>B59+B60</f>
        <v>13138.75</v>
      </c>
      <c r="C61" s="47">
        <f>C59+C60</f>
        <v>19860.47</v>
      </c>
      <c r="D61" s="47">
        <f>D59+D60</f>
        <v>15448.84</v>
      </c>
      <c r="E61" s="47">
        <f>E59+E60</f>
        <v>3302.5</v>
      </c>
      <c r="F61" s="47">
        <f>F59+F60</f>
        <v>62665.8</v>
      </c>
      <c r="G61" s="47">
        <f>G59+G60</f>
        <v>48056.58</v>
      </c>
      <c r="H61" s="49">
        <f>B61+C61+D61+E61+F61+G61</f>
        <v>162472.94</v>
      </c>
    </row>
    <row r="62" spans="1:8" ht="16">
      <c r="A62" s="36" t="s">
        <v>59</v>
      </c>
      <c r="B62" s="45"/>
      <c r="C62" s="45"/>
      <c r="D62" s="45"/>
      <c r="E62" s="45"/>
      <c r="F62" s="45"/>
      <c r="G62" s="46">
        <v>6015.09</v>
      </c>
      <c r="H62" s="46">
        <f>B62+C62+D62+E62+F62+G62</f>
        <v>6015.09</v>
      </c>
    </row>
    <row r="63" spans="1:8" ht="16">
      <c r="A63" s="36" t="s">
        <v>60</v>
      </c>
      <c r="B63" s="46">
        <v>3908.2</v>
      </c>
      <c r="C63" s="46">
        <v>2749.81</v>
      </c>
      <c r="D63" s="46">
        <v>3550.62</v>
      </c>
      <c r="E63" s="46">
        <v>4407.5</v>
      </c>
      <c r="F63" s="46">
        <v>3504.95</v>
      </c>
      <c r="G63" s="46">
        <v>1091.77</v>
      </c>
      <c r="H63" s="46">
        <f>B63+C63+D63+E63+F63+G63</f>
        <v>19212.850000000002</v>
      </c>
    </row>
    <row r="64" spans="1:8" ht="16">
      <c r="A64" s="36" t="s">
        <v>61</v>
      </c>
      <c r="B64" s="46">
        <v>4262.52</v>
      </c>
      <c r="C64" s="45"/>
      <c r="D64" s="46">
        <v>5000.0</v>
      </c>
      <c r="E64" s="45"/>
      <c r="F64" s="46">
        <v>3500.0</v>
      </c>
      <c r="G64" s="46">
        <v>100.0</v>
      </c>
      <c r="H64" s="46">
        <f>B64+C64+D64+E64+F64+G64</f>
        <v>12862.52</v>
      </c>
    </row>
    <row r="65" spans="1:8" ht="16">
      <c r="A65" s="36" t="s">
        <v>62</v>
      </c>
      <c r="B65" s="46">
        <v>2700.0</v>
      </c>
      <c r="C65" s="46">
        <v>8886.03</v>
      </c>
      <c r="D65" s="45"/>
      <c r="E65" s="46">
        <v>11927.69</v>
      </c>
      <c r="F65" s="45"/>
      <c r="G65" s="46">
        <v>14205.47</v>
      </c>
      <c r="H65" s="46">
        <f>B65+C65+D65+E65+F65+G65</f>
        <v>37719.19</v>
      </c>
    </row>
    <row r="66" spans="1:8" ht="16">
      <c r="A66" s="36" t="s">
        <v>63</v>
      </c>
      <c r="B66" s="46">
        <v>560.73</v>
      </c>
      <c r="C66" s="46">
        <v>741.61</v>
      </c>
      <c r="D66" s="46">
        <v>904.44</v>
      </c>
      <c r="E66" s="46">
        <v>851.95</v>
      </c>
      <c r="F66" s="46">
        <v>379.75</v>
      </c>
      <c r="G66" s="45"/>
      <c r="H66" s="46">
        <f>B66+C66+D66+E66+F66+G66</f>
        <v>3438.4800000000005</v>
      </c>
    </row>
    <row r="67" spans="1:8" ht="16">
      <c r="A67" s="36" t="s">
        <v>64</v>
      </c>
      <c r="B67" s="45"/>
      <c r="C67" s="45"/>
      <c r="D67" s="45"/>
      <c r="E67" s="45"/>
      <c r="F67" s="45"/>
      <c r="G67" s="46">
        <v>32.0</v>
      </c>
      <c r="H67" s="46">
        <f>B67+C67+D67+E67+F67+G67</f>
        <v>32.0</v>
      </c>
    </row>
    <row r="68" spans="1:8" ht="16">
      <c r="A68" s="38" t="s">
        <v>65</v>
      </c>
      <c r="B68" s="46">
        <v>1397.0</v>
      </c>
      <c r="C68" s="46">
        <v>1397.0</v>
      </c>
      <c r="D68" s="46">
        <v>1397.0</v>
      </c>
      <c r="E68" s="46">
        <v>1397.0</v>
      </c>
      <c r="F68" s="46">
        <v>1397.0</v>
      </c>
      <c r="G68" s="45"/>
      <c r="H68" s="46">
        <f>B68+C68+D68+E68+F68+G68</f>
        <v>6985.0</v>
      </c>
    </row>
    <row r="69" spans="1:8" ht="16">
      <c r="A69" s="38" t="s">
        <v>66</v>
      </c>
      <c r="B69" s="46">
        <v>426.82</v>
      </c>
      <c r="C69" s="46">
        <v>426.82</v>
      </c>
      <c r="D69" s="46">
        <v>426.82</v>
      </c>
      <c r="E69" s="46">
        <v>426.82</v>
      </c>
      <c r="F69" s="45"/>
      <c r="G69" s="45"/>
      <c r="H69" s="46">
        <f>B69+C69+D69+E69+F69+G69</f>
        <v>1707.28</v>
      </c>
    </row>
    <row r="70" spans="1:8" ht="16">
      <c r="A70" s="38" t="s">
        <v>67</v>
      </c>
      <c r="B70" s="46">
        <v>604.99</v>
      </c>
      <c r="C70" s="46">
        <v>604.94</v>
      </c>
      <c r="D70" s="46">
        <v>669.47</v>
      </c>
      <c r="E70" s="46">
        <v>499.57</v>
      </c>
      <c r="F70" s="46">
        <v>3421.95</v>
      </c>
      <c r="G70" s="46">
        <v>1273.12</v>
      </c>
      <c r="H70" s="46">
        <f>B70+C70+D70+E70+F70+G70</f>
        <v>7074.04</v>
      </c>
    </row>
    <row r="71" spans="1:8" ht="16">
      <c r="A71" s="38" t="s">
        <v>68</v>
      </c>
      <c r="B71" s="46">
        <v>1930.73</v>
      </c>
      <c r="C71" s="46">
        <v>1930.73</v>
      </c>
      <c r="D71" s="46">
        <v>1930.72</v>
      </c>
      <c r="E71" s="46">
        <v>1930.72</v>
      </c>
      <c r="F71" s="46">
        <v>1930.72</v>
      </c>
      <c r="G71" s="45"/>
      <c r="H71" s="46">
        <f>B71+C71+D71+E71+F71+G71</f>
        <v>9653.62</v>
      </c>
    </row>
    <row r="72" spans="1:8" ht="16">
      <c r="A72" s="38" t="s">
        <v>69</v>
      </c>
      <c r="B72" s="46">
        <v>1930.72</v>
      </c>
      <c r="C72" s="46">
        <v>1930.72</v>
      </c>
      <c r="D72" s="46">
        <v>1930.73</v>
      </c>
      <c r="E72" s="46">
        <v>1930.73</v>
      </c>
      <c r="F72" s="46">
        <v>1930.73</v>
      </c>
      <c r="G72" s="45"/>
      <c r="H72" s="46">
        <f>B72+C72+D72+E72+F72+G72</f>
        <v>9653.63</v>
      </c>
    </row>
    <row r="73" spans="1:8" ht="16">
      <c r="A73" s="38" t="s">
        <v>70</v>
      </c>
      <c r="B73" s="46">
        <v>5481.97</v>
      </c>
      <c r="C73" s="46">
        <v>7311.41</v>
      </c>
      <c r="D73" s="46">
        <v>7364.47</v>
      </c>
      <c r="E73" s="46">
        <v>6170.97</v>
      </c>
      <c r="F73" s="46">
        <v>5751.17</v>
      </c>
      <c r="G73" s="46">
        <v>4494.97</v>
      </c>
      <c r="H73" s="46">
        <f>B73+C73+D73+E73+F73+G73</f>
        <v>36574.96000000001</v>
      </c>
    </row>
    <row r="74" spans="1:8" ht="16">
      <c r="A74" s="38" t="s">
        <v>71</v>
      </c>
      <c r="B74" s="46">
        <v>-13591.09</v>
      </c>
      <c r="C74" s="46">
        <v>11628.77</v>
      </c>
      <c r="D74" s="46">
        <v>5898.02</v>
      </c>
      <c r="E74" s="46">
        <v>9085.68</v>
      </c>
      <c r="F74" s="46">
        <v>8947.53</v>
      </c>
      <c r="G74" s="46">
        <v>12602.26</v>
      </c>
      <c r="H74" s="46">
        <f>B74+C74+D74+E74+F74+G74</f>
        <v>34571.170000000006</v>
      </c>
    </row>
    <row r="75" spans="1:8" ht="16">
      <c r="A75" s="39" t="s">
        <v>72</v>
      </c>
      <c r="B75" s="47">
        <f>B67+B68+B69+B70+B71+B72+B73+B74</f>
        <v>-1818.8600000000006</v>
      </c>
      <c r="C75" s="47">
        <f>C67+C68+C69+C70+C71+C72+C73+C74</f>
        <v>25230.39</v>
      </c>
      <c r="D75" s="47">
        <f>D67+D68+D69+D70+D71+D72+D73+D74</f>
        <v>19617.23</v>
      </c>
      <c r="E75" s="47">
        <f>E67+E68+E69+E70+E71+E72+E73+E74</f>
        <v>21441.49</v>
      </c>
      <c r="F75" s="47">
        <f>F67+F68+F69+F70+F71+F72+F73+F74</f>
        <v>23379.1</v>
      </c>
      <c r="G75" s="47">
        <f>G67+G68+G69+G70+G71+G72+G73+G74</f>
        <v>18402.35</v>
      </c>
      <c r="H75" s="49">
        <f>B75+C75+D75+E75+F75+G75</f>
        <v>106251.70000000001</v>
      </c>
    </row>
    <row r="76" spans="1:8" ht="16">
      <c r="A76" s="36" t="s">
        <v>73</v>
      </c>
      <c r="B76" s="46">
        <v>2936.72</v>
      </c>
      <c r="C76" s="46">
        <v>2936.72</v>
      </c>
      <c r="D76" s="46">
        <v>2936.72</v>
      </c>
      <c r="E76" s="45"/>
      <c r="F76" s="45"/>
      <c r="G76" s="45"/>
      <c r="H76" s="46">
        <f>B76+C76+D76+E76+F76+G76</f>
        <v>8810.16</v>
      </c>
    </row>
    <row r="77" spans="1:8" ht="16">
      <c r="A77" s="36" t="s">
        <v>74</v>
      </c>
      <c r="B77" s="46">
        <v>2412.0</v>
      </c>
      <c r="C77" s="46">
        <v>1189.5</v>
      </c>
      <c r="D77" s="46">
        <v>909.0</v>
      </c>
      <c r="E77" s="46">
        <v>2860.0</v>
      </c>
      <c r="F77" s="46">
        <v>1639.0</v>
      </c>
      <c r="G77" s="46">
        <v>1950.69</v>
      </c>
      <c r="H77" s="46">
        <f>B77+C77+D77+E77+F77+G77</f>
        <v>10960.19</v>
      </c>
    </row>
    <row r="78" spans="1:8" ht="16">
      <c r="A78" s="38" t="s">
        <v>75</v>
      </c>
      <c r="B78" s="45"/>
      <c r="C78" s="46">
        <v>1350.0</v>
      </c>
      <c r="D78" s="45"/>
      <c r="E78" s="45"/>
      <c r="F78" s="45"/>
      <c r="G78" s="45"/>
      <c r="H78" s="46">
        <f>B78+C78+D78+E78+F78+G78</f>
        <v>1350.0</v>
      </c>
    </row>
    <row r="79" spans="1:8" ht="16">
      <c r="A79" s="38" t="s">
        <v>76</v>
      </c>
      <c r="B79" s="46">
        <v>5500.0</v>
      </c>
      <c r="C79" s="46">
        <v>6000.0</v>
      </c>
      <c r="D79" s="46">
        <v>4500.0</v>
      </c>
      <c r="E79" s="46">
        <v>4700.0</v>
      </c>
      <c r="F79" s="46">
        <v>8900.0</v>
      </c>
      <c r="G79" s="45"/>
      <c r="H79" s="46">
        <f>B79+C79+D79+E79+F79+G79</f>
        <v>29600.0</v>
      </c>
    </row>
    <row r="80" spans="1:8" ht="16">
      <c r="A80" s="38" t="s">
        <v>77</v>
      </c>
      <c r="B80" s="46">
        <v>1153.84</v>
      </c>
      <c r="C80" s="46">
        <v>1153.84</v>
      </c>
      <c r="D80" s="46">
        <v>1153.84</v>
      </c>
      <c r="E80" s="46">
        <v>1442.3</v>
      </c>
      <c r="F80" s="46">
        <v>1153.84</v>
      </c>
      <c r="G80" s="46">
        <v>576.92</v>
      </c>
      <c r="H80" s="46">
        <f>B80+C80+D80+E80+F80+G80</f>
        <v>6634.58</v>
      </c>
    </row>
    <row r="81" spans="1:8" ht="16">
      <c r="A81" s="38" t="s">
        <v>78</v>
      </c>
      <c r="B81" s="46">
        <v>3210.0</v>
      </c>
      <c r="C81" s="46">
        <v>7745.0</v>
      </c>
      <c r="D81" s="46">
        <v>11385.0</v>
      </c>
      <c r="E81" s="46">
        <v>245.0</v>
      </c>
      <c r="F81" s="46">
        <v>10519.01</v>
      </c>
      <c r="G81" s="45"/>
      <c r="H81" s="46">
        <f>B81+C81+D81+E81+F81+G81</f>
        <v>33104.01</v>
      </c>
    </row>
    <row r="82" spans="1:8" ht="16">
      <c r="A82" s="39" t="s">
        <v>79</v>
      </c>
      <c r="B82" s="47">
        <f>B77+B78+B79+B80+B81</f>
        <v>12275.84</v>
      </c>
      <c r="C82" s="47">
        <f>C77+C78+C79+C80+C81</f>
        <v>17438.34</v>
      </c>
      <c r="D82" s="47">
        <f>D77+D78+D79+D80+D81</f>
        <v>17947.84</v>
      </c>
      <c r="E82" s="47">
        <f>E77+E78+E79+E80+E81</f>
        <v>9247.3</v>
      </c>
      <c r="F82" s="47">
        <f>F77+F78+F79+F80+F81</f>
        <v>22211.85</v>
      </c>
      <c r="G82" s="47">
        <f>G77+G78+G79+G80+G81</f>
        <v>2527.61</v>
      </c>
      <c r="H82" s="49">
        <f>B82+C82+D82+E82+F82+G82</f>
        <v>81648.78000000001</v>
      </c>
    </row>
    <row r="83" spans="1:8" ht="16">
      <c r="A83" s="36" t="s">
        <v>80</v>
      </c>
      <c r="B83" s="46">
        <v>995.54</v>
      </c>
      <c r="C83" s="46">
        <v>852.98</v>
      </c>
      <c r="D83" s="45"/>
      <c r="E83" s="46">
        <v>664.01</v>
      </c>
      <c r="F83" s="46">
        <v>1134.33</v>
      </c>
      <c r="G83" s="46">
        <v>491.82</v>
      </c>
      <c r="H83" s="46">
        <f>B83+C83+D83+E83+F83+G83</f>
        <v>4138.679999999999</v>
      </c>
    </row>
    <row r="84" spans="1:8" ht="16">
      <c r="A84" s="36" t="s">
        <v>81</v>
      </c>
      <c r="B84" s="46">
        <v>69.29</v>
      </c>
      <c r="C84" s="46">
        <v>385.37</v>
      </c>
      <c r="D84" s="46">
        <v>969.04</v>
      </c>
      <c r="E84" s="46">
        <v>1549.32</v>
      </c>
      <c r="F84" s="46">
        <v>1702.21</v>
      </c>
      <c r="G84" s="46">
        <v>360.62</v>
      </c>
      <c r="H84" s="46">
        <f>B84+C84+D84+E84+F84+G84</f>
        <v>5035.849999999999</v>
      </c>
    </row>
    <row r="85" spans="1:8" ht="16">
      <c r="A85" s="36" t="s">
        <v>82</v>
      </c>
      <c r="B85" s="45"/>
      <c r="C85" s="45"/>
      <c r="D85" s="45"/>
      <c r="E85" s="45"/>
      <c r="F85" s="45"/>
      <c r="G85" s="45"/>
      <c r="H85" s="45"/>
    </row>
    <row r="86" spans="1:8" ht="16">
      <c r="A86" s="38" t="s">
        <v>83</v>
      </c>
      <c r="B86" s="46">
        <v>14271.9</v>
      </c>
      <c r="C86" s="46">
        <v>11769.22</v>
      </c>
      <c r="D86" s="46">
        <v>19523.63</v>
      </c>
      <c r="E86" s="46">
        <v>16071.75</v>
      </c>
      <c r="F86" s="46">
        <v>32530.29</v>
      </c>
      <c r="G86" s="46">
        <v>14818.22</v>
      </c>
      <c r="H86" s="46">
        <f>B86+C86+D86+E86+F86+G86</f>
        <v>108985.01000000001</v>
      </c>
    </row>
    <row r="87" spans="1:8" ht="16">
      <c r="A87" s="38" t="s">
        <v>84</v>
      </c>
      <c r="B87" s="46">
        <v>20375.0</v>
      </c>
      <c r="C87" s="46">
        <v>36350.0</v>
      </c>
      <c r="D87" s="46">
        <v>45925.0</v>
      </c>
      <c r="E87" s="46">
        <v>46935.52</v>
      </c>
      <c r="F87" s="46">
        <v>35300.0</v>
      </c>
      <c r="G87" s="46">
        <v>17250.0</v>
      </c>
      <c r="H87" s="46">
        <f>B87+C87+D87+E87+F87+G87</f>
        <v>202135.52</v>
      </c>
    </row>
    <row r="88" spans="1:8" ht="16">
      <c r="A88" s="38" t="s">
        <v>85</v>
      </c>
      <c r="B88" s="45"/>
      <c r="C88" s="45"/>
      <c r="D88" s="46">
        <v>2908.56</v>
      </c>
      <c r="E88" s="45"/>
      <c r="F88" s="45"/>
      <c r="G88" s="45"/>
      <c r="H88" s="46">
        <f>B88+C88+D88+E88+F88+G88</f>
        <v>2908.56</v>
      </c>
    </row>
    <row r="89" spans="1:8" ht="16">
      <c r="A89" s="39" t="s">
        <v>86</v>
      </c>
      <c r="B89" s="47">
        <f>B85+B86+B87+B88</f>
        <v>34646.9</v>
      </c>
      <c r="C89" s="47">
        <f>C85+C86+C87+C88</f>
        <v>48119.22</v>
      </c>
      <c r="D89" s="47">
        <f>D85+D86+D87+D88</f>
        <v>68357.19</v>
      </c>
      <c r="E89" s="47">
        <f>E85+E86+E87+E88</f>
        <v>63007.27</v>
      </c>
      <c r="F89" s="47">
        <f>F85+F86+F87+F88</f>
        <v>67830.29000000001</v>
      </c>
      <c r="G89" s="47">
        <f>G85+G86+G87+G88</f>
        <v>32068.22</v>
      </c>
      <c r="H89" s="49">
        <f>B89+C89+D89+E89+F89+G89</f>
        <v>314029.08999999997</v>
      </c>
    </row>
    <row r="90" spans="1:8" ht="16">
      <c r="A90" s="36" t="s">
        <v>87</v>
      </c>
      <c r="B90" s="45"/>
      <c r="C90" s="45"/>
      <c r="D90" s="45"/>
      <c r="E90" s="46">
        <v>162.0</v>
      </c>
      <c r="F90" s="46">
        <v>994.4</v>
      </c>
      <c r="G90" s="46">
        <v>153.12</v>
      </c>
      <c r="H90" s="46">
        <f>B90+C90+D90+E90+F90+G90</f>
        <v>1309.52</v>
      </c>
    </row>
    <row r="91" spans="1:8" ht="16">
      <c r="A91" s="36" t="s">
        <v>88</v>
      </c>
      <c r="B91" s="46">
        <v>4647.93</v>
      </c>
      <c r="C91" s="46">
        <v>1971.04</v>
      </c>
      <c r="D91" s="46">
        <v>4631.85</v>
      </c>
      <c r="E91" s="46">
        <v>3782.17</v>
      </c>
      <c r="F91" s="46">
        <v>10439.78</v>
      </c>
      <c r="G91" s="46">
        <v>936.78</v>
      </c>
      <c r="H91" s="46">
        <f>B91+C91+D91+E91+F91+G91</f>
        <v>26409.55</v>
      </c>
    </row>
    <row r="92" spans="1:8" ht="16">
      <c r="A92" s="36" t="s">
        <v>89</v>
      </c>
      <c r="B92" s="45"/>
      <c r="C92" s="46">
        <v>10000.0</v>
      </c>
      <c r="D92" s="45"/>
      <c r="E92" s="46">
        <v>47146.76</v>
      </c>
      <c r="F92" s="46">
        <v>51335.87</v>
      </c>
      <c r="G92" s="46">
        <v>5000.0</v>
      </c>
      <c r="H92" s="46">
        <f>B92+C92+D92+E92+F92+G92</f>
        <v>113482.63</v>
      </c>
    </row>
    <row r="93" spans="1:8" ht="16">
      <c r="A93" s="36" t="s">
        <v>90</v>
      </c>
      <c r="B93" s="46">
        <v>870.0</v>
      </c>
      <c r="C93" s="46">
        <v>466.4</v>
      </c>
      <c r="D93" s="45"/>
      <c r="E93" s="46">
        <v>4577.94</v>
      </c>
      <c r="F93" s="46">
        <v>1683.3</v>
      </c>
      <c r="G93" s="46">
        <v>1200.0</v>
      </c>
      <c r="H93" s="46">
        <f>B93+C93+D93+E93+F93+G93</f>
        <v>8797.64</v>
      </c>
    </row>
    <row r="94" spans="1:8" ht="16">
      <c r="A94" s="36" t="s">
        <v>91</v>
      </c>
      <c r="B94" s="45"/>
      <c r="C94" s="45"/>
      <c r="D94" s="45"/>
      <c r="E94" s="45"/>
      <c r="F94" s="45"/>
      <c r="G94" s="45"/>
      <c r="H94" s="45"/>
    </row>
    <row r="95" spans="1:8" ht="16">
      <c r="A95" s="38" t="s">
        <v>92</v>
      </c>
      <c r="B95" s="46">
        <v>2024.24</v>
      </c>
      <c r="C95" s="46">
        <v>10415.2</v>
      </c>
      <c r="D95" s="46">
        <v>8491.0</v>
      </c>
      <c r="E95" s="46">
        <v>6060.32</v>
      </c>
      <c r="F95" s="46">
        <v>8203.19</v>
      </c>
      <c r="G95" s="46">
        <v>1416.17</v>
      </c>
      <c r="H95" s="46">
        <f>B95+C95+D95+E95+F95+G95</f>
        <v>36610.12</v>
      </c>
    </row>
    <row r="96" spans="1:8" ht="16">
      <c r="A96" s="38" t="s">
        <v>93</v>
      </c>
      <c r="B96" s="46">
        <v>881.95</v>
      </c>
      <c r="C96" s="46">
        <v>858.88</v>
      </c>
      <c r="D96" s="46">
        <v>1050.53</v>
      </c>
      <c r="E96" s="46">
        <v>858.88</v>
      </c>
      <c r="F96" s="46">
        <v>881.95</v>
      </c>
      <c r="G96" s="46">
        <v>429.44</v>
      </c>
      <c r="H96" s="46">
        <f>B96+C96+D96+E96+F96+G96</f>
        <v>4961.629999999999</v>
      </c>
    </row>
    <row r="97" spans="1:8" ht="16">
      <c r="A97" s="38" t="s">
        <v>94</v>
      </c>
      <c r="B97" s="46">
        <v>40031.48</v>
      </c>
      <c r="C97" s="46">
        <v>46282.41</v>
      </c>
      <c r="D97" s="46">
        <v>59284.4</v>
      </c>
      <c r="E97" s="46">
        <v>55393.26</v>
      </c>
      <c r="F97" s="46">
        <v>84887.72</v>
      </c>
      <c r="G97" s="46">
        <v>33299.92</v>
      </c>
      <c r="H97" s="46">
        <f>B97+C97+D97+E97+F97+G97</f>
        <v>319179.19</v>
      </c>
    </row>
    <row r="98" spans="1:8" ht="16">
      <c r="A98" s="38" t="s">
        <v>95</v>
      </c>
      <c r="B98" s="46">
        <v>43556.65</v>
      </c>
      <c r="C98" s="46">
        <v>41932.83</v>
      </c>
      <c r="D98" s="46">
        <v>56492.41</v>
      </c>
      <c r="E98" s="46">
        <v>54276.79</v>
      </c>
      <c r="F98" s="46">
        <v>77875.3</v>
      </c>
      <c r="G98" s="46">
        <v>35288.22</v>
      </c>
      <c r="H98" s="46">
        <f>B98+C98+D98+E98+F98+G98</f>
        <v>309422.20000000007</v>
      </c>
    </row>
    <row r="99" spans="1:8" ht="16">
      <c r="A99" s="40" t="s">
        <v>96</v>
      </c>
      <c r="B99" s="45"/>
      <c r="C99" s="45"/>
      <c r="D99" s="45"/>
      <c r="E99" s="46">
        <v>2120.98</v>
      </c>
      <c r="F99" s="45"/>
      <c r="G99" s="45"/>
      <c r="H99" s="46">
        <f>B99+C99+D99+E99+F99+G99</f>
        <v>2120.98</v>
      </c>
    </row>
    <row r="100" spans="1:8" ht="16">
      <c r="A100" s="40" t="s">
        <v>97</v>
      </c>
      <c r="B100" s="46">
        <v>1750.0</v>
      </c>
      <c r="C100" s="46">
        <v>2518.63</v>
      </c>
      <c r="D100" s="46">
        <v>3165.49</v>
      </c>
      <c r="E100" s="46">
        <v>18775.6</v>
      </c>
      <c r="F100" s="46">
        <v>500.0</v>
      </c>
      <c r="G100" s="45"/>
      <c r="H100" s="46">
        <f>B100+C100+D100+E100+F100+G100</f>
        <v>26709.719999999998</v>
      </c>
    </row>
    <row r="101" spans="1:8" ht="16">
      <c r="A101" s="40" t="s">
        <v>98</v>
      </c>
      <c r="B101" s="45"/>
      <c r="C101" s="45"/>
      <c r="D101" s="45"/>
      <c r="E101" s="45"/>
      <c r="F101" s="46">
        <v>283.77</v>
      </c>
      <c r="G101" s="46">
        <v>55.69</v>
      </c>
      <c r="H101" s="46">
        <f>B101+C101+D101+E101+F101+G101</f>
        <v>339.46</v>
      </c>
    </row>
    <row r="102" spans="1:8" ht="16">
      <c r="A102" s="40" t="s">
        <v>99</v>
      </c>
      <c r="B102" s="46">
        <v>7908.22</v>
      </c>
      <c r="C102" s="46">
        <v>7863.0</v>
      </c>
      <c r="D102" s="46">
        <v>6470.48</v>
      </c>
      <c r="E102" s="46">
        <v>45.03</v>
      </c>
      <c r="F102" s="45"/>
      <c r="G102" s="45"/>
      <c r="H102" s="46">
        <f>B102+C102+D102+E102+F102+G102</f>
        <v>22286.73</v>
      </c>
    </row>
    <row r="103" spans="1:8" ht="16">
      <c r="A103" s="41" t="s">
        <v>100</v>
      </c>
      <c r="B103" s="47">
        <f>B98+B99+B100+B101+B102</f>
        <v>53214.87</v>
      </c>
      <c r="C103" s="47">
        <f>C98+C99+C100+C101+C102</f>
        <v>52314.46</v>
      </c>
      <c r="D103" s="47">
        <f>D98+D99+D100+D101+D102</f>
        <v>66128.38</v>
      </c>
      <c r="E103" s="47">
        <f>E98+E99+E100+E101+E102</f>
        <v>75218.4</v>
      </c>
      <c r="F103" s="47">
        <f>F98+F99+F100+F101+F102</f>
        <v>78659.07</v>
      </c>
      <c r="G103" s="47">
        <f>G98+G99+G100+G101+G102</f>
        <v>35343.91</v>
      </c>
      <c r="H103" s="49">
        <f>B103+C103+D103+E103+F103+G103</f>
        <v>360879.0900000001</v>
      </c>
    </row>
    <row r="104" spans="1:8" ht="16">
      <c r="A104" s="38" t="s">
        <v>101</v>
      </c>
      <c r="B104" s="46">
        <v>103167.45</v>
      </c>
      <c r="C104" s="46">
        <v>93301.91</v>
      </c>
      <c r="D104" s="46">
        <v>141503.62</v>
      </c>
      <c r="E104" s="46">
        <v>136957.22</v>
      </c>
      <c r="F104" s="46">
        <v>201975.7</v>
      </c>
      <c r="G104" s="46">
        <v>93814.87</v>
      </c>
      <c r="H104" s="46">
        <f>B104+C104+D104+E104+F104+G104</f>
        <v>770720.7699999999</v>
      </c>
    </row>
    <row r="105" spans="1:8" ht="16">
      <c r="A105" s="38" t="s">
        <v>102</v>
      </c>
      <c r="B105" s="46">
        <v>60634.34</v>
      </c>
      <c r="C105" s="46">
        <v>55739.57</v>
      </c>
      <c r="D105" s="46">
        <v>46805.03</v>
      </c>
      <c r="E105" s="46">
        <v>48789.1</v>
      </c>
      <c r="F105" s="46">
        <v>63920.34</v>
      </c>
      <c r="G105" s="46">
        <v>28310.66</v>
      </c>
      <c r="H105" s="46">
        <f>B105+C105+D105+E105+F105+G105</f>
        <v>304199.04</v>
      </c>
    </row>
    <row r="106" spans="1:8" ht="16">
      <c r="A106" s="39" t="s">
        <v>103</v>
      </c>
      <c r="B106" s="47">
        <f>B94+B95+B96+B97+B103+B104+B105</f>
        <v>259954.33</v>
      </c>
      <c r="C106" s="47">
        <f>C94+C95+C96+C97+C103+C104+C105</f>
        <v>258912.43000000002</v>
      </c>
      <c r="D106" s="47">
        <f>D94+D95+D96+D97+D103+D104+D105</f>
        <v>323262.95999999996</v>
      </c>
      <c r="E106" s="47">
        <f>E94+E95+E96+E97+E103+E104+E105</f>
        <v>323277.17999999993</v>
      </c>
      <c r="F106" s="47">
        <f>F94+F95+F96+F97+F103+F104+F105</f>
        <v>438527.97</v>
      </c>
      <c r="G106" s="47">
        <f>G94+G95+G96+G97+G103+G104+G105</f>
        <v>192614.97</v>
      </c>
      <c r="H106" s="49">
        <f>B106+C106+D106+E106+F106+G106</f>
        <v>1796549.8399999999</v>
      </c>
    </row>
    <row r="107" spans="1:8" ht="16">
      <c r="A107" s="36" t="s">
        <v>104</v>
      </c>
      <c r="B107" s="46">
        <v>943.94</v>
      </c>
      <c r="C107" s="46">
        <v>294.7</v>
      </c>
      <c r="D107" s="46">
        <v>1052.04</v>
      </c>
      <c r="E107" s="46">
        <v>1781.75</v>
      </c>
      <c r="F107" s="46">
        <v>3097.17</v>
      </c>
      <c r="G107" s="46">
        <v>3483.21</v>
      </c>
      <c r="H107" s="46">
        <f>B107+C107+D107+E107+F107+G107</f>
        <v>10652.810000000001</v>
      </c>
    </row>
    <row r="108" spans="1:8" ht="16">
      <c r="A108" s="36" t="s">
        <v>105</v>
      </c>
      <c r="B108" s="45"/>
      <c r="C108" s="45"/>
      <c r="D108" s="45"/>
      <c r="E108" s="45"/>
      <c r="F108" s="45"/>
      <c r="G108" s="46">
        <v>12.46</v>
      </c>
      <c r="H108" s="46">
        <f>B108+C108+D108+E108+F108+G108</f>
        <v>12.46</v>
      </c>
    </row>
    <row r="109" spans="1:8" ht="16">
      <c r="A109" s="38" t="s">
        <v>106</v>
      </c>
      <c r="B109" s="46">
        <v>115.7</v>
      </c>
      <c r="C109" s="46">
        <v>894.6</v>
      </c>
      <c r="D109" s="46">
        <v>295.41</v>
      </c>
      <c r="E109" s="46">
        <v>3079.95</v>
      </c>
      <c r="F109" s="46">
        <v>2791.29</v>
      </c>
      <c r="G109" s="46">
        <v>1059.21</v>
      </c>
      <c r="H109" s="46">
        <f>B109+C109+D109+E109+F109+G109</f>
        <v>8236.16</v>
      </c>
    </row>
    <row r="110" spans="1:8" ht="16">
      <c r="A110" s="38" t="s">
        <v>107</v>
      </c>
      <c r="B110" s="46">
        <v>180.17</v>
      </c>
      <c r="C110" s="46">
        <v>130.64</v>
      </c>
      <c r="D110" s="46">
        <v>3645.9</v>
      </c>
      <c r="E110" s="46">
        <v>2830.02</v>
      </c>
      <c r="F110" s="46">
        <v>2140.96</v>
      </c>
      <c r="G110" s="46">
        <v>117.87</v>
      </c>
      <c r="H110" s="46">
        <f>B110+C110+D110+E110+F110+G110</f>
        <v>9045.56</v>
      </c>
    </row>
    <row r="111" spans="1:8" ht="16">
      <c r="A111" s="38" t="s">
        <v>108</v>
      </c>
      <c r="B111" s="46">
        <v>462.7</v>
      </c>
      <c r="C111" s="46">
        <v>162.24</v>
      </c>
      <c r="D111" s="46">
        <v>295.74</v>
      </c>
      <c r="E111" s="46">
        <v>716.15</v>
      </c>
      <c r="F111" s="46">
        <v>233.59</v>
      </c>
      <c r="G111" s="46">
        <v>129.56</v>
      </c>
      <c r="H111" s="46">
        <f>B111+C111+D111+E111+F111+G111</f>
        <v>1999.9799999999998</v>
      </c>
    </row>
    <row r="112" spans="1:8" ht="16">
      <c r="A112" s="39" t="s">
        <v>109</v>
      </c>
      <c r="B112" s="47">
        <f>B108+B109+B110+B111</f>
        <v>758.5699999999999</v>
      </c>
      <c r="C112" s="47">
        <f>C108+C109+C110+C111</f>
        <v>1187.48</v>
      </c>
      <c r="D112" s="47">
        <f>D108+D109+D110+D111</f>
        <v>4237.05</v>
      </c>
      <c r="E112" s="47">
        <f>E108+E109+E110+E111</f>
        <v>6626.119999999999</v>
      </c>
      <c r="F112" s="47">
        <f>F108+F109+F110+F111</f>
        <v>5165.84</v>
      </c>
      <c r="G112" s="47">
        <f>G108+G109+G110+G111</f>
        <v>1319.1</v>
      </c>
      <c r="H112" s="49">
        <f>B112+C112+D112+E112+F112+G112</f>
        <v>19294.159999999996</v>
      </c>
    </row>
    <row r="113" spans="1:8" ht="16">
      <c r="A113" s="36" t="s">
        <v>110</v>
      </c>
      <c r="B113" s="45"/>
      <c r="C113" s="45"/>
      <c r="D113" s="45"/>
      <c r="E113" s="45"/>
      <c r="F113" s="45"/>
      <c r="G113" s="45"/>
      <c r="H113" s="45"/>
    </row>
    <row r="114" spans="1:8" ht="16">
      <c r="A114" s="38" t="s">
        <v>111</v>
      </c>
      <c r="B114" s="46">
        <v>54769.64</v>
      </c>
      <c r="C114" s="46">
        <v>49289.93</v>
      </c>
      <c r="D114" s="46">
        <v>115017.8</v>
      </c>
      <c r="E114" s="46">
        <v>137873.05</v>
      </c>
      <c r="F114" s="46">
        <v>141634.81</v>
      </c>
      <c r="G114" s="46">
        <v>63352.8</v>
      </c>
      <c r="H114" s="46">
        <f>B114+C114+D114+E114+F114+G114</f>
        <v>561938.03</v>
      </c>
    </row>
    <row r="115" spans="1:8" ht="16">
      <c r="A115" s="38" t="s">
        <v>112</v>
      </c>
      <c r="B115" s="46">
        <v>25500.0</v>
      </c>
      <c r="C115" s="46">
        <v>25500.0</v>
      </c>
      <c r="D115" s="46">
        <v>33203.44</v>
      </c>
      <c r="E115" s="46">
        <v>20932.84</v>
      </c>
      <c r="F115" s="46">
        <v>42542.59</v>
      </c>
      <c r="G115" s="46">
        <v>920.29</v>
      </c>
      <c r="H115" s="46">
        <f>B115+C115+D115+E115+F115+G115</f>
        <v>148599.16</v>
      </c>
    </row>
    <row r="116" spans="1:8" ht="16">
      <c r="A116" s="38" t="s">
        <v>113</v>
      </c>
      <c r="B116" s="46">
        <v>3468.48</v>
      </c>
      <c r="C116" s="46">
        <v>3574.43</v>
      </c>
      <c r="D116" s="46">
        <v>3679.44</v>
      </c>
      <c r="E116" s="46">
        <v>15971.33</v>
      </c>
      <c r="F116" s="46">
        <v>12695.94</v>
      </c>
      <c r="G116" s="46">
        <v>3383.0</v>
      </c>
      <c r="H116" s="46">
        <f>B116+C116+D116+E116+F116+G116</f>
        <v>42772.62</v>
      </c>
    </row>
    <row r="117" spans="1:8" ht="16">
      <c r="A117" s="38" t="s">
        <v>114</v>
      </c>
      <c r="B117" s="45"/>
      <c r="C117" s="46">
        <v>3734.48</v>
      </c>
      <c r="D117" s="46">
        <v>405.23</v>
      </c>
      <c r="E117" s="46">
        <v>-297.82</v>
      </c>
      <c r="F117" s="46">
        <v>568.15</v>
      </c>
      <c r="G117" s="45"/>
      <c r="H117" s="46">
        <f>B117+C117+D117+E117+F117+G117</f>
        <v>4410.04</v>
      </c>
    </row>
    <row r="118" spans="1:8" ht="16">
      <c r="A118" s="38" t="s">
        <v>115</v>
      </c>
      <c r="B118" s="46">
        <v>7619.04</v>
      </c>
      <c r="C118" s="46">
        <v>30054.56</v>
      </c>
      <c r="D118" s="46">
        <v>33156.05</v>
      </c>
      <c r="E118" s="46">
        <v>36295.48</v>
      </c>
      <c r="F118" s="46">
        <v>53844.9</v>
      </c>
      <c r="G118" s="46">
        <v>19866.98</v>
      </c>
      <c r="H118" s="46">
        <f>B118+C118+D118+E118+F118+G118</f>
        <v>180837.01</v>
      </c>
    </row>
    <row r="119" spans="1:8" ht="16">
      <c r="A119" s="38" t="s">
        <v>116</v>
      </c>
      <c r="B119" s="46">
        <v>387.0</v>
      </c>
      <c r="C119" s="46">
        <v>2807.81</v>
      </c>
      <c r="D119" s="46">
        <v>854.0</v>
      </c>
      <c r="E119" s="46">
        <v>800.0</v>
      </c>
      <c r="F119" s="46">
        <v>1009.56</v>
      </c>
      <c r="G119" s="45"/>
      <c r="H119" s="46">
        <f>B119+C119+D119+E119+F119+G119</f>
        <v>5858.369999999999</v>
      </c>
    </row>
    <row r="120" spans="1:8" ht="16">
      <c r="A120" s="38" t="s">
        <v>117</v>
      </c>
      <c r="B120" s="46">
        <v>49683.98</v>
      </c>
      <c r="C120" s="46">
        <v>64424.05</v>
      </c>
      <c r="D120" s="46">
        <v>63483.22</v>
      </c>
      <c r="E120" s="46">
        <v>69675.85</v>
      </c>
      <c r="F120" s="46">
        <v>116699.27</v>
      </c>
      <c r="G120" s="46">
        <v>30347.21</v>
      </c>
      <c r="H120" s="46">
        <f>B120+C120+D120+E120+F120+G120</f>
        <v>394313.58</v>
      </c>
    </row>
    <row r="121" spans="1:8" ht="16">
      <c r="A121" s="38" t="s">
        <v>118</v>
      </c>
      <c r="B121" s="46">
        <v>2547.78</v>
      </c>
      <c r="C121" s="46">
        <v>1361.73</v>
      </c>
      <c r="D121" s="46">
        <v>1354.59</v>
      </c>
      <c r="E121" s="46">
        <v>1188.16</v>
      </c>
      <c r="F121" s="46">
        <v>1471.3</v>
      </c>
      <c r="G121" s="46">
        <v>1142.16</v>
      </c>
      <c r="H121" s="46">
        <f>B121+C121+D121+E121+F121+G121</f>
        <v>9065.720000000001</v>
      </c>
    </row>
    <row r="122" spans="1:8" ht="16">
      <c r="A122" s="39" t="s">
        <v>119</v>
      </c>
      <c r="B122" s="47">
        <f>B113+B114+B115+B116+B117+B118+B119+B120+B121</f>
        <v>143975.91999999998</v>
      </c>
      <c r="C122" s="47">
        <f>C113+C114+C115+C116+C117+C118+C119+C120+C121</f>
        <v>180746.99</v>
      </c>
      <c r="D122" s="47">
        <f>D113+D114+D115+D116+D117+D118+D119+D120+D121</f>
        <v>251153.77000000002</v>
      </c>
      <c r="E122" s="47">
        <f>E113+E114+E115+E116+E117+E118+E119+E120+E121</f>
        <v>282438.88999999996</v>
      </c>
      <c r="F122" s="47">
        <f>F113+F114+F115+F116+F117+F118+F119+F120+F121</f>
        <v>370466.51999999996</v>
      </c>
      <c r="G122" s="47">
        <f>G113+G114+G115+G116+G117+G118+G119+G120+G121</f>
        <v>119012.44</v>
      </c>
      <c r="H122" s="49">
        <f>B122+C122+D122+E122+F122+G122</f>
        <v>1347794.5299999998</v>
      </c>
    </row>
    <row r="123" spans="1:8" ht="16">
      <c r="A123" s="36" t="s">
        <v>120</v>
      </c>
      <c r="B123" s="46">
        <v>7959.96</v>
      </c>
      <c r="C123" s="46">
        <v>2990.65</v>
      </c>
      <c r="D123" s="46">
        <v>2830.27</v>
      </c>
      <c r="E123" s="46">
        <v>4660.23</v>
      </c>
      <c r="F123" s="46">
        <v>2830.03</v>
      </c>
      <c r="G123" s="46">
        <v>221.13</v>
      </c>
      <c r="H123" s="46">
        <f>B123+C123+D123+E123+F123+G123</f>
        <v>21492.27</v>
      </c>
    </row>
    <row r="124" spans="1:8" ht="16">
      <c r="A124" s="36" t="s">
        <v>121</v>
      </c>
      <c r="B124" s="45"/>
      <c r="C124" s="45"/>
      <c r="D124" s="45"/>
      <c r="E124" s="46">
        <v>1395.37</v>
      </c>
      <c r="F124" s="45"/>
      <c r="G124" s="46">
        <v>4730.0</v>
      </c>
      <c r="H124" s="46">
        <f>B124+C124+D124+E124+F124+G124</f>
        <v>6125.37</v>
      </c>
    </row>
    <row r="125" spans="1:8" ht="16">
      <c r="A125" s="37" t="s">
        <v>122</v>
      </c>
      <c r="B125" s="47">
        <f>B18+B19+B20+B30+B35+B36+B37+B54+B55+B56+B57+B58+B61+B62+B63+B64+B65+B66+B75+B76+B82+B83+B84+B89+B90+B91+B92+B93+B106+B107+B112+B122+B123+B124</f>
        <v>598682.3499999999</v>
      </c>
      <c r="C125" s="47">
        <f>C18+C19+C20+C30+C35+C36+C37+C54+C55+C56+C57+C58+C61+C62+C63+C64+C65+C66+C75+C76+C82+C83+C84+C89+C90+C91+C92+C93+C106+C107+C112+C122+C123+C124</f>
        <v>647766.79</v>
      </c>
      <c r="D125" s="47">
        <f>D18+D19+D20+D30+D35+D36+D37+D54+D55+D56+D57+D58+D61+D62+D63+D64+D65+D66+D75+D76+D82+D83+D84+D89+D90+D91+D92+D93+D106+D107+D112+D122+D123+D124</f>
        <v>789424.7700000001</v>
      </c>
      <c r="E125" s="47">
        <f>E18+E19+E20+E30+E35+E36+E37+E54+E55+E56+E57+E58+E61+E62+E63+E64+E65+E66+E75+E76+E82+E83+E84+E89+E90+E91+E92+E93+E106+E107+E112+E122+E123+E124</f>
        <v>888173.85</v>
      </c>
      <c r="F125" s="47">
        <f>F18+F19+F20+F30+F35+F36+F37+F54+F55+F56+F57+F58+F61+F62+F63+F64+F65+F66+F75+F76+F82+F83+F84+F89+F90+F91+F92+F93+F106+F107+F112+F122+F123+F124</f>
        <v>1221441.87</v>
      </c>
      <c r="G125" s="47">
        <f>G18+G19+G20+G30+G35+G36+G37+G54+G55+G56+G57+G58+G61+G62+G63+G64+G65+G66+G75+G76+G82+G83+G84+G89+G90+G91+G92+G93+G106+G107+G112+G122+G123+G124</f>
        <v>488241.89</v>
      </c>
      <c r="H125" s="49">
        <f>B125+C125+D125+E125+F125+G125</f>
        <v>4633731.5200000005</v>
      </c>
    </row>
    <row r="126" spans="1:8" ht="16">
      <c r="A126" s="37" t="s">
        <v>123</v>
      </c>
      <c r="B126" s="47">
        <f>B17-B125</f>
        <v>-117748.84999999986</v>
      </c>
      <c r="C126" s="47">
        <f>C17-C125</f>
        <v>35351.030000000144</v>
      </c>
      <c r="D126" s="47">
        <f>D17-D125</f>
        <v>324433.19000000006</v>
      </c>
      <c r="E126" s="47">
        <f>E17-E125</f>
        <v>219305.54000000015</v>
      </c>
      <c r="F126" s="47">
        <f>F17-F125</f>
        <v>154138.40999999992</v>
      </c>
      <c r="G126" s="47">
        <f>G17-G125</f>
        <v>-33824.859999999986</v>
      </c>
      <c r="H126" s="49">
        <f>B126+C126+D126+E126+F126+G126</f>
        <v>581654.4600000004</v>
      </c>
    </row>
    <row r="127" spans="1:7" ht="16">
      <c r="A127" s="35" t="s">
        <v>124</v>
      </c>
      <c r="B127" s="45"/>
      <c r="C127" s="45"/>
      <c r="D127" s="45"/>
      <c r="E127" s="45"/>
      <c r="F127" s="45"/>
      <c r="G127" s="45"/>
    </row>
    <row r="128" spans="1:8" ht="16">
      <c r="A128" s="36" t="s">
        <v>125</v>
      </c>
      <c r="B128" s="46">
        <v>34.73</v>
      </c>
      <c r="C128" s="46">
        <v>32.93</v>
      </c>
      <c r="D128" s="46">
        <v>47.29</v>
      </c>
      <c r="E128" s="46">
        <v>24.76</v>
      </c>
      <c r="F128" s="46">
        <v>20.3</v>
      </c>
      <c r="G128" s="45"/>
      <c r="H128" s="46">
        <f>B128+C128+D128+E128+F128+G128</f>
        <v>160.01</v>
      </c>
    </row>
    <row r="129" spans="1:8" ht="16">
      <c r="A129" s="36" t="s">
        <v>126</v>
      </c>
      <c r="B129" s="46">
        <v>25500.0</v>
      </c>
      <c r="C129" s="46">
        <v>25500.0</v>
      </c>
      <c r="D129" s="46">
        <v>25500.0</v>
      </c>
      <c r="E129" s="45"/>
      <c r="F129" s="45"/>
      <c r="G129" s="45"/>
      <c r="H129" s="46">
        <f>B129+C129+D129+E129+F129+G129</f>
        <v>76500.0</v>
      </c>
    </row>
    <row r="130" spans="1:8" ht="16">
      <c r="A130" s="37" t="s">
        <v>127</v>
      </c>
      <c r="B130" s="47">
        <f>B127+B128+B129</f>
        <v>25534.73</v>
      </c>
      <c r="C130" s="47">
        <f>C127+C128+C129</f>
        <v>25532.93</v>
      </c>
      <c r="D130" s="47">
        <f>D127+D128+D129</f>
        <v>25547.29</v>
      </c>
      <c r="E130" s="47">
        <f>E127+E128+E129</f>
        <v>24.76</v>
      </c>
      <c r="F130" s="47">
        <f>F127+F128+F129</f>
        <v>20.3</v>
      </c>
      <c r="G130" s="49">
        <f>G127+G128+G129</f>
        <v>0.0</v>
      </c>
      <c r="H130" s="49">
        <f>B130+C130+D130+E130+F130+G130</f>
        <v>76660.01000000001</v>
      </c>
    </row>
    <row r="131" spans="1:8" ht="16">
      <c r="A131" s="37" t="s">
        <v>128</v>
      </c>
      <c r="B131" s="47">
        <f>B130-0</f>
        <v>25534.73</v>
      </c>
      <c r="C131" s="47">
        <f>C130-0</f>
        <v>25532.93</v>
      </c>
      <c r="D131" s="47">
        <f>D130-0</f>
        <v>25547.29</v>
      </c>
      <c r="E131" s="47">
        <f>E130-0</f>
        <v>24.76</v>
      </c>
      <c r="F131" s="47">
        <f>F130-0</f>
        <v>20.3</v>
      </c>
      <c r="G131" s="49">
        <f>G130-0</f>
        <v>0.0</v>
      </c>
      <c r="H131" s="49">
        <f>B131+C131+D131+E131+F131+G131</f>
        <v>76660.01000000001</v>
      </c>
    </row>
    <row r="132" spans="1:8" ht="16">
      <c r="A132" s="37" t="s">
        <v>129</v>
      </c>
      <c r="B132" s="47">
        <f>B126+B131</f>
        <v>-92214.11999999986</v>
      </c>
      <c r="C132" s="47">
        <f>C126+C131</f>
        <v>60883.960000000145</v>
      </c>
      <c r="D132" s="47">
        <f>D126+D131</f>
        <v>349980.48000000004</v>
      </c>
      <c r="E132" s="47">
        <f>E126+E131</f>
        <v>219330.30000000016</v>
      </c>
      <c r="F132" s="47">
        <f>F126+F131</f>
        <v>154158.7099999999</v>
      </c>
      <c r="G132" s="47">
        <f>G126+G131</f>
        <v>-33824.859999999986</v>
      </c>
      <c r="H132" s="49">
        <f>B132+C132+D132+E132+F132+G132</f>
        <v>658314.4700000003</v>
      </c>
    </row>
    <row r="136" spans="1:1" ht="16">
      <c r="A136" s="50" t="s">
        <v>138</v>
      </c>
    </row>
  </sheetData>
  <mergeCells count="4">
    <mergeCell ref="A1:H1"/>
    <mergeCell ref="A2:H2"/>
    <mergeCell ref="A3:H3"/>
    <mergeCell ref="A136:H1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
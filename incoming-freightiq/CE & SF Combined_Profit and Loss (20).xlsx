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32" i="1" l="1"/>
</calcChain>
</file>

<file path=xl/sharedStrings.xml><?xml version="1.0" encoding="utf-8"?>
<sst xmlns="http://schemas.openxmlformats.org/spreadsheetml/2006/main" count="157" uniqueCount="157">
  <si>
    <t>CE &amp; SF Combined</t>
  </si>
  <si>
    <t>Profit and Loss</t>
  </si>
  <si>
    <t>January 1-June 13, 2026</t>
  </si>
  <si>
    <t>Income</t>
  </si>
  <si>
    <t>CE East Revenue</t>
  </si>
  <si>
    <t>CE Revenue</t>
  </si>
  <si>
    <t>DI Revenue</t>
  </si>
  <si>
    <t>SF Revenue</t>
  </si>
  <si>
    <t>Total for Income</t>
  </si>
  <si>
    <t>Cost of Goods Sold</t>
  </si>
  <si>
    <t>Carrier Pay</t>
  </si>
  <si>
    <t>Flexent Funding Fees</t>
  </si>
  <si>
    <t>Triumph Merchant Fees</t>
  </si>
  <si>
    <t>Total for Cost of Goods Sold</t>
  </si>
  <si>
    <t>Gross Profit</t>
  </si>
  <si>
    <t>Expenses</t>
  </si>
  <si>
    <t>Advertising &amp; Marketing</t>
  </si>
  <si>
    <t>Agio Gel Expenses</t>
  </si>
  <si>
    <t>Asset Loan Payments</t>
  </si>
  <si>
    <t>2024 BMW I7</t>
  </si>
  <si>
    <t>2024 GMC Hummer</t>
  </si>
  <si>
    <t>2024 Yamaha 275 SDX</t>
  </si>
  <si>
    <t>2025 Cadillac Escalade</t>
  </si>
  <si>
    <t>Bank of America - Range Rover</t>
  </si>
  <si>
    <t>Forklift</t>
  </si>
  <si>
    <t>MBFS - Sprinter</t>
  </si>
  <si>
    <t>Tesla</t>
  </si>
  <si>
    <t>Total for Asset Loan Payments</t>
  </si>
  <si>
    <t>Bad Debt Expense</t>
  </si>
  <si>
    <t>Atlus - Heffernan</t>
  </si>
  <si>
    <t>Atlus - Toyota</t>
  </si>
  <si>
    <t>Sloan Terminal Settlement</t>
  </si>
  <si>
    <t>Total for Bad Debt Expense</t>
  </si>
  <si>
    <t>Bank Charges &amp; Fees</t>
  </si>
  <si>
    <t>Business Licensing</t>
  </si>
  <si>
    <t>Capacity Express East</t>
  </si>
  <si>
    <t>Commissions - CE East</t>
  </si>
  <si>
    <t>Computer &amp; Software - CE East</t>
  </si>
  <si>
    <t>Employee Loan - CE East</t>
  </si>
  <si>
    <t>Meals &amp; Entertainment - CE East</t>
  </si>
  <si>
    <t>Office Rent - CE East</t>
  </si>
  <si>
    <t>Office Supplies &amp; Materials</t>
  </si>
  <si>
    <t>Partner Contribution - Repayment</t>
  </si>
  <si>
    <t>Salaries &amp; Wages - CE East</t>
  </si>
  <si>
    <t>Shareholder Distributions - CE East</t>
  </si>
  <si>
    <t>Travel Expenses - CE East</t>
  </si>
  <si>
    <t>Flights - CE East</t>
  </si>
  <si>
    <t>Hotel &amp; Lodging - CE East</t>
  </si>
  <si>
    <t>UBER/Rideshare/Rentals - CE East</t>
  </si>
  <si>
    <t>Total for Travel Expenses - CE East</t>
  </si>
  <si>
    <t>Utilities - CE East</t>
  </si>
  <si>
    <t>Total for Capacity Express East</t>
  </si>
  <si>
    <t>Cat Scale</t>
  </si>
  <si>
    <t>Charging Costs</t>
  </si>
  <si>
    <t>Charitable Donations</t>
  </si>
  <si>
    <t>Computer &amp; Software</t>
  </si>
  <si>
    <t>Cost of Labor</t>
  </si>
  <si>
    <t>Owner Operators</t>
  </si>
  <si>
    <t>Total for Cost of Labor</t>
  </si>
  <si>
    <t>Credit Cards</t>
  </si>
  <si>
    <t>Dues &amp; Subscriptions</t>
  </si>
  <si>
    <t>Employee Loans</t>
  </si>
  <si>
    <t>Equipment Rentals</t>
  </si>
  <si>
    <t>Gas</t>
  </si>
  <si>
    <t>Insurance</t>
  </si>
  <si>
    <t>5Seven5 Insurance</t>
  </si>
  <si>
    <t>Building Insurance</t>
  </si>
  <si>
    <t>Car Insurance</t>
  </si>
  <si>
    <t>CE East Freight Insurance</t>
  </si>
  <si>
    <t>CE Freight Insurance</t>
  </si>
  <si>
    <t>Health Insurance</t>
  </si>
  <si>
    <t>Worker's Compensation Insurance</t>
  </si>
  <si>
    <t>Total for Insurance</t>
  </si>
  <si>
    <t>Interest Expense</t>
  </si>
  <si>
    <t>Legal and Professional Fees</t>
  </si>
  <si>
    <t>Accounting/Tax Expenses</t>
  </si>
  <si>
    <t>ATM Withdrawal</t>
  </si>
  <si>
    <t>EvanLee</t>
  </si>
  <si>
    <t>Lawyers</t>
  </si>
  <si>
    <t>Total for Legal and Professional Fees</t>
  </si>
  <si>
    <t>License/Fees/Penalties</t>
  </si>
  <si>
    <t>Meals &amp; Entertainment</t>
  </si>
  <si>
    <t>Owners Draw</t>
  </si>
  <si>
    <t>Owner Purchases</t>
  </si>
  <si>
    <t>Owners Distributions</t>
  </si>
  <si>
    <t>Personal Tax Expense</t>
  </si>
  <si>
    <t>Total for Owners Draw</t>
  </si>
  <si>
    <t>Postage &amp; Shipping</t>
  </si>
  <si>
    <t>Reimbursements</t>
  </si>
  <si>
    <t>Rent/Lease of Building</t>
  </si>
  <si>
    <t>Repair &amp; Maintenance</t>
  </si>
  <si>
    <t>Salaries and Wages</t>
  </si>
  <si>
    <t>401(k) Expense</t>
  </si>
  <si>
    <t>Child Support Payments</t>
  </si>
  <si>
    <t>Contractor Payroll</t>
  </si>
  <si>
    <t>Payroll Taxes</t>
  </si>
  <si>
    <t>Federal Tax</t>
  </si>
  <si>
    <t>Modified Business Tax</t>
  </si>
  <si>
    <t>State Tax</t>
  </si>
  <si>
    <t>Unemployment Tax</t>
  </si>
  <si>
    <t>Total for Payroll Taxes</t>
  </si>
  <si>
    <t>Salaries &amp; Wages - Drivers</t>
  </si>
  <si>
    <t>Salaries &amp; Wages - Office</t>
  </si>
  <si>
    <t>Total for Salaries and Wages</t>
  </si>
  <si>
    <t>Supplies and Materials</t>
  </si>
  <si>
    <t>Travel Expenses</t>
  </si>
  <si>
    <t>Flights</t>
  </si>
  <si>
    <t>Hotel/Lodging</t>
  </si>
  <si>
    <t>UBER/Rideshare/Rentals</t>
  </si>
  <si>
    <t>Total for Travel Expenses</t>
  </si>
  <si>
    <t>Truck/Trailer</t>
  </si>
  <si>
    <t>Fuel</t>
  </si>
  <si>
    <t>SF Truck Insurance</t>
  </si>
  <si>
    <t>Storage/Parking</t>
  </si>
  <si>
    <t>Trailer Maintenance</t>
  </si>
  <si>
    <t>Trailer Rentals</t>
  </si>
  <si>
    <t>Truck Maintenance</t>
  </si>
  <si>
    <t>Truck Rentals</t>
  </si>
  <si>
    <t>Worker Uniforms</t>
  </si>
  <si>
    <t>Total for Truck/Trailer</t>
  </si>
  <si>
    <t>Utilities</t>
  </si>
  <si>
    <t>Vehicle Registration</t>
  </si>
  <si>
    <t>Total for Expenses</t>
  </si>
  <si>
    <t>Net Operating Income</t>
  </si>
  <si>
    <t>Other Income</t>
  </si>
  <si>
    <t>Interest Income</t>
  </si>
  <si>
    <t>Triumph Withhholding</t>
  </si>
  <si>
    <t>Total for Other Income</t>
  </si>
  <si>
    <t>Net Other Income</t>
  </si>
  <si>
    <t>Net Income</t>
  </si>
  <si>
    <t/>
  </si>
  <si>
    <t>Jan 1-4 2026</t>
  </si>
  <si>
    <t>Jan 5-11 2026</t>
  </si>
  <si>
    <t>Jan 12-18 2026</t>
  </si>
  <si>
    <t>Jan 19-25 2026</t>
  </si>
  <si>
    <t>Jan 26 - Feb 1 2026</t>
  </si>
  <si>
    <t>Feb 2-8 2026</t>
  </si>
  <si>
    <t>Feb 9-15 2026</t>
  </si>
  <si>
    <t>Feb 16-22 2026</t>
  </si>
  <si>
    <t>Feb 23 - Mar 1 2026</t>
  </si>
  <si>
    <t>Mar 2-8 2026</t>
  </si>
  <si>
    <t>Mar 9-15 2026</t>
  </si>
  <si>
    <t>Mar 16-22 2026</t>
  </si>
  <si>
    <t>Mar 23-29 2026</t>
  </si>
  <si>
    <t>Mar 30 - Apr 5 2026</t>
  </si>
  <si>
    <t>Apr 6-12 2026</t>
  </si>
  <si>
    <t>Apr 13-19 2026</t>
  </si>
  <si>
    <t>Apr 20-26 2026</t>
  </si>
  <si>
    <t>Apr 27 - May 3 2026</t>
  </si>
  <si>
    <t>May 4-10 2026</t>
  </si>
  <si>
    <t>May 11-17 2026</t>
  </si>
  <si>
    <t>May 18-24 2026</t>
  </si>
  <si>
    <t>May 25-31 2026</t>
  </si>
  <si>
    <t>Jun 1-7 2026</t>
  </si>
  <si>
    <t>Jun 8-13 2026</t>
  </si>
  <si>
    <t>Total</t>
  </si>
  <si>
    <t>Accrual Basis Saturday, June 13, 2026 03:01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</si>
</sst>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&quot;$&quot;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53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5" fillId="0" borderId="2" xfId="0" applyNumberFormat="1" applyFont="1" applyBorder="1"/>
    <xf numFmtId="178" fontId="2" fillId="0" borderId="0" xfId="0" applyNumberFormat="1" applyFont="1"/>
    <xf numFmtId="178" fontId="2" fillId="0" borderId="2" xfId="0" applyNumberFormat="1" applyFont="1" applyBorder="1"/>
    <xf numFmtId="178" fontId="5" fillId="0" borderId="2" xfId="0" applyNumberFormat="1" applyFont="1" applyBorder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5" fillId="0" borderId="0" xfId="0" applyFont="1" applyAlignment="1">
      <alignment horizontal="left" indent="1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5" fillId="0" borderId="0" xfId="0" applyFont="1" applyAlignment="1">
      <alignment horizontal="left" indent="2"/>
    </xf>
    <xf numFmtId="177" fontId="3" fillId="0" borderId="0" xfId="0" applyNumberFormat="1" applyFont="1"/>
    <xf numFmtId="0" fontId="2" fillId="0" borderId="1" xfId="20">
      <alignment/>
      <protection/>
    </xf>
    <xf numFmtId="0" fontId="4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4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5" fillId="0" borderId="0" xfId="0" applyFont="1" applyAlignment="1">
      <alignment horizontal="left" wrapText="1" indent="1"/>
    </xf>
    <xf numFmtId="0" fontId="3" fillId="0" borderId="0" xfId="0" applyFont="1" applyAlignment="1">
      <alignment horizontal="left" wrapText="1" indent="3"/>
    </xf>
    <xf numFmtId="0" fontId="5" fillId="0" borderId="0" xfId="0" applyFont="1" applyAlignment="1">
      <alignment horizontal="left" wrapText="1" indent="2"/>
    </xf>
    <xf numFmtId="0" fontId="0" fillId="0" borderId="0" xfId="0" applyAlignment="1">
      <alignment wrapText="1"/>
    </xf>
    <xf numFmtId="0" fontId="4" fillId="0" borderId="1" xfId="20" applyFont="1" applyBorder="1" applyAlignment="1">
      <alignment wrapText="1"/>
      <protection/>
    </xf>
    <xf numFmtId="0" fontId="4" fillId="0" borderId="1" xfId="20" applyFont="1" applyBorder="1" applyAlignment="1">
      <alignment horizontal="center" wrapText="1"/>
      <protection/>
    </xf>
    <xf numFmtId="0" fontId="3" fillId="0" borderId="0" xfId="0" applyFont="1" applyAlignment="1">
      <alignment wrapText="1"/>
    </xf>
    <xf numFmtId="178" fontId="3" fillId="0" borderId="0" xfId="0" applyNumberFormat="1" applyFont="1" applyAlignment="1">
      <alignment wrapText="1"/>
    </xf>
    <xf numFmtId="178" fontId="5" fillId="0" borderId="2" xfId="0" applyNumberFormat="1" applyFont="1" applyBorder="1" applyAlignment="1">
      <alignment wrapText="1"/>
    </xf>
    <xf numFmtId="177" fontId="5" fillId="0" borderId="2" xfId="0" applyNumberFormat="1" applyFont="1" applyBorder="1" applyAlignment="1">
      <alignment wrapText="1"/>
    </xf>
    <xf numFmtId="0" fontId="4" fillId="0" borderId="1" xfId="20" applyFont="1" applyAlignment="1">
      <alignment horizontal="center" wrapText="1"/>
      <protection/>
    </xf>
    <xf numFmtId="177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Z136"/>
  <sheetViews>
    <sheetView tabSelected="1" workbookViewId="0" topLeftCell="A1"/>
  </sheetViews>
  <sheetFormatPr defaultColWidth="11.255" defaultRowHeight="16"/>
  <cols>
    <col min="1" max="1" width="32.375" style="43" customWidth="1"/>
    <col min="2" max="3" width="16.125" style="43" customWidth="1"/>
    <col min="4" max="6" width="17" style="43" customWidth="1"/>
    <col min="7" max="9" width="16.125" style="43" customWidth="1"/>
    <col min="10" max="10" width="17" style="43" customWidth="1"/>
    <col min="11" max="14" width="16.125" style="43" customWidth="1"/>
    <col min="15" max="15" width="17" style="43" customWidth="1"/>
    <col min="16" max="16" width="16.125" style="43" customWidth="1"/>
    <col min="17" max="17" width="17" style="43" customWidth="1"/>
    <col min="18" max="18" width="16.125" style="43" customWidth="1"/>
    <col min="19" max="19" width="17" style="43" customWidth="1"/>
    <col min="20" max="20" width="15.25" style="43" customWidth="1"/>
    <col min="21" max="26" width="16.125" style="43" customWidth="1"/>
  </cols>
  <sheetData>
    <row r="1" spans="1:1" ht="16">
      <c r="A1" s="32" t="s">
        <v>0</v>
      </c>
    </row>
    <row r="2" spans="1:1" ht="16">
      <c r="A2" s="33" t="s">
        <v>1</v>
      </c>
    </row>
    <row r="3" spans="1:1" ht="16">
      <c r="A3" s="34" t="s">
        <v>2</v>
      </c>
    </row>
    <row r="5" spans="1:26" ht="16">
      <c r="A5" s="45" t="s">
        <v>130</v>
      </c>
      <c r="B5" s="50" t="s">
        <v>131</v>
      </c>
      <c r="C5" s="50" t="s">
        <v>132</v>
      </c>
      <c r="D5" s="50" t="s">
        <v>133</v>
      </c>
      <c r="E5" s="50" t="s">
        <v>134</v>
      </c>
      <c r="F5" s="50" t="s">
        <v>135</v>
      </c>
      <c r="G5" s="50" t="s">
        <v>136</v>
      </c>
      <c r="H5" s="50" t="s">
        <v>137</v>
      </c>
      <c r="I5" s="50" t="s">
        <v>138</v>
      </c>
      <c r="J5" s="50" t="s">
        <v>139</v>
      </c>
      <c r="K5" s="50" t="s">
        <v>140</v>
      </c>
      <c r="L5" s="50" t="s">
        <v>141</v>
      </c>
      <c r="M5" s="50" t="s">
        <v>142</v>
      </c>
      <c r="N5" s="50" t="s">
        <v>143</v>
      </c>
      <c r="O5" s="50" t="s">
        <v>144</v>
      </c>
      <c r="P5" s="50" t="s">
        <v>145</v>
      </c>
      <c r="Q5" s="50" t="s">
        <v>146</v>
      </c>
      <c r="R5" s="50" t="s">
        <v>147</v>
      </c>
      <c r="S5" s="50" t="s">
        <v>148</v>
      </c>
      <c r="T5" s="50" t="s">
        <v>149</v>
      </c>
      <c r="U5" s="50" t="s">
        <v>150</v>
      </c>
      <c r="V5" s="50" t="s">
        <v>151</v>
      </c>
      <c r="W5" s="50" t="s">
        <v>152</v>
      </c>
      <c r="X5" s="50" t="s">
        <v>153</v>
      </c>
      <c r="Y5" s="50" t="s">
        <v>154</v>
      </c>
      <c r="Z5" s="50" t="s">
        <v>155</v>
      </c>
    </row>
    <row r="6" spans="1:25" ht="16">
      <c r="A6" s="36" t="s">
        <v>3</v>
      </c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</row>
    <row r="7" spans="1:26" ht="16">
      <c r="A7" s="37" t="s">
        <v>4</v>
      </c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7">
        <v>17692.01</v>
      </c>
      <c r="P7" s="47">
        <v>42079.5</v>
      </c>
      <c r="Q7" s="47">
        <v>33577.0</v>
      </c>
      <c r="R7" s="47">
        <v>56475.0</v>
      </c>
      <c r="S7" s="47">
        <v>62682.0</v>
      </c>
      <c r="T7" s="47">
        <v>26682.3</v>
      </c>
      <c r="U7" s="47">
        <v>25525.0</v>
      </c>
      <c r="V7" s="47">
        <v>21779.35</v>
      </c>
      <c r="W7" s="47">
        <v>41827.25</v>
      </c>
      <c r="X7" s="47">
        <v>31205.0</v>
      </c>
      <c r="Y7" s="47">
        <v>42187.5</v>
      </c>
      <c r="Z7" s="47">
        <f>B7+C7+D7+E7+F7+G7+H7+I7+J7+K7+L7+M7+N7+O7+P7+Q7+R7+S7+T7+U7+V7+W7+X7+Y7</f>
        <v>401711.91</v>
      </c>
    </row>
    <row r="8" spans="1:26" ht="16">
      <c r="A8" s="37" t="s">
        <v>5</v>
      </c>
      <c r="B8" s="47">
        <v>71474.65</v>
      </c>
      <c r="C8" s="47">
        <v>103721.7</v>
      </c>
      <c r="D8" s="47">
        <v>164803.92</v>
      </c>
      <c r="E8" s="47">
        <v>157601.79</v>
      </c>
      <c r="F8" s="47">
        <v>165858.08</v>
      </c>
      <c r="G8" s="47">
        <v>355998.69</v>
      </c>
      <c r="H8" s="47">
        <v>403325.58</v>
      </c>
      <c r="I8" s="47">
        <v>200471.24</v>
      </c>
      <c r="J8" s="47">
        <v>304358.58</v>
      </c>
      <c r="K8" s="47">
        <v>286145.38</v>
      </c>
      <c r="L8" s="47">
        <v>123160.85</v>
      </c>
      <c r="M8" s="47">
        <v>557108.0</v>
      </c>
      <c r="N8" s="47">
        <v>652624.29</v>
      </c>
      <c r="O8" s="47">
        <v>238980.74</v>
      </c>
      <c r="P8" s="47">
        <v>284152.0</v>
      </c>
      <c r="Q8" s="47">
        <v>213785.03</v>
      </c>
      <c r="R8" s="47">
        <v>289391.5</v>
      </c>
      <c r="S8" s="47">
        <v>460519.09</v>
      </c>
      <c r="T8" s="47">
        <v>395010.95</v>
      </c>
      <c r="U8" s="47">
        <v>573500.5</v>
      </c>
      <c r="V8" s="47">
        <v>619783.65</v>
      </c>
      <c r="W8" s="47">
        <v>235869.96</v>
      </c>
      <c r="X8" s="47">
        <v>150520.0</v>
      </c>
      <c r="Y8" s="47">
        <v>269034.5</v>
      </c>
      <c r="Z8" s="47">
        <f>B8+C8+D8+E8+F8+G8+H8+I8+J8+K8+L8+M8+N8+O8+P8+Q8+R8+S8+T8+U8+V8+W8+X8+Y8</f>
        <v>7277200.670000001</v>
      </c>
    </row>
    <row r="9" spans="1:26" ht="16">
      <c r="A9" s="37" t="s">
        <v>6</v>
      </c>
      <c r="B9" s="47">
        <v>1049.0</v>
      </c>
      <c r="C9" s="47">
        <v>150.0</v>
      </c>
      <c r="D9" s="47">
        <v>5865.4</v>
      </c>
      <c r="E9" s="47">
        <v>3332.85</v>
      </c>
      <c r="F9" s="47">
        <v>4550.0</v>
      </c>
      <c r="G9" s="47">
        <v>434.85</v>
      </c>
      <c r="H9" s="47">
        <v>1035.0</v>
      </c>
      <c r="I9" s="47">
        <v>635.9</v>
      </c>
      <c r="J9" s="47">
        <v>4530.75</v>
      </c>
      <c r="K9" s="47">
        <v>15005.0</v>
      </c>
      <c r="L9" s="47">
        <v>70.0</v>
      </c>
      <c r="M9" s="47">
        <v>880.0</v>
      </c>
      <c r="N9" s="46"/>
      <c r="O9" s="47">
        <v>2767.68</v>
      </c>
      <c r="P9" s="47">
        <v>200.0</v>
      </c>
      <c r="Q9" s="47">
        <v>729.9</v>
      </c>
      <c r="R9" s="47">
        <v>291.0</v>
      </c>
      <c r="S9" s="46"/>
      <c r="T9" s="46"/>
      <c r="U9" s="47">
        <v>629.0</v>
      </c>
      <c r="V9" s="47">
        <v>945.86</v>
      </c>
      <c r="W9" s="47">
        <v>15832.86</v>
      </c>
      <c r="X9" s="47">
        <v>3036.0</v>
      </c>
      <c r="Y9" s="47">
        <v>241.45</v>
      </c>
      <c r="Z9" s="47">
        <f>B9+C9+D9+E9+F9+G9+H9+I9+J9+K9+L9+M9+N9+O9+P9+Q9+R9+S9+T9+U9+V9+W9+X9+Y9</f>
        <v>62212.5</v>
      </c>
    </row>
    <row r="10" spans="1:26" ht="16">
      <c r="A10" s="37" t="s">
        <v>7</v>
      </c>
      <c r="B10" s="47">
        <v>14362.37</v>
      </c>
      <c r="C10" s="47">
        <v>63463.93</v>
      </c>
      <c r="D10" s="47">
        <v>68403.04</v>
      </c>
      <c r="E10" s="47">
        <v>89058.86</v>
      </c>
      <c r="F10" s="47">
        <v>79466.2</v>
      </c>
      <c r="G10" s="47">
        <v>85296.04</v>
      </c>
      <c r="H10" s="47">
        <v>121889.79</v>
      </c>
      <c r="I10" s="47">
        <v>58840.48</v>
      </c>
      <c r="J10" s="47">
        <v>71016.84</v>
      </c>
      <c r="K10" s="47">
        <v>68554.2</v>
      </c>
      <c r="L10" s="47">
        <v>78440.06</v>
      </c>
      <c r="M10" s="47">
        <v>125457.61</v>
      </c>
      <c r="N10" s="47">
        <v>187561.15</v>
      </c>
      <c r="O10" s="47">
        <v>153613.17</v>
      </c>
      <c r="P10" s="47">
        <v>135504.8</v>
      </c>
      <c r="Q10" s="47">
        <v>109382.04</v>
      </c>
      <c r="R10" s="47">
        <v>128863.11</v>
      </c>
      <c r="S10" s="47">
        <v>198383.54</v>
      </c>
      <c r="T10" s="47">
        <v>170301.98</v>
      </c>
      <c r="U10" s="47">
        <v>237565.05</v>
      </c>
      <c r="V10" s="47">
        <v>141802.81</v>
      </c>
      <c r="W10" s="47">
        <v>145103.06</v>
      </c>
      <c r="X10" s="47">
        <v>122912.56</v>
      </c>
      <c r="Y10" s="47">
        <v>187119.5</v>
      </c>
      <c r="Z10" s="47">
        <f>B10+C10+D10+E10+F10+G10+H10+I10+J10+K10+L10+M10+N10+O10+P10+Q10+R10+S10+T10+U10+V10+W10+X10+Y10</f>
        <v>2842362.19</v>
      </c>
    </row>
    <row r="11" spans="1:26" ht="16">
      <c r="A11" s="38" t="s">
        <v>8</v>
      </c>
      <c r="B11" s="48">
        <f>B6+B7+B8+B9+B10</f>
        <v>86886.01999999999</v>
      </c>
      <c r="C11" s="48">
        <f>C6+C7+C8+C9+C10</f>
        <v>167335.63</v>
      </c>
      <c r="D11" s="48">
        <f>D6+D7+D8+D9+D10</f>
        <v>239072.36</v>
      </c>
      <c r="E11" s="48">
        <f>E6+E7+E8+E9+E10</f>
        <v>249993.5</v>
      </c>
      <c r="F11" s="48">
        <f>F6+F7+F8+F9+F10</f>
        <v>249874.27999999997</v>
      </c>
      <c r="G11" s="48">
        <f>G6+G7+G8+G9+G10</f>
        <v>441729.57999999996</v>
      </c>
      <c r="H11" s="48">
        <f>H6+H7+H8+H9+H10</f>
        <v>526250.37</v>
      </c>
      <c r="I11" s="48">
        <f>I6+I7+I8+I9+I10</f>
        <v>259947.62</v>
      </c>
      <c r="J11" s="48">
        <f>J6+J7+J8+J9+J10</f>
        <v>379906.17000000004</v>
      </c>
      <c r="K11" s="48">
        <f>K6+K7+K8+K9+K10</f>
        <v>369704.58</v>
      </c>
      <c r="L11" s="48">
        <f>L6+L7+L8+L9+L10</f>
        <v>201670.91</v>
      </c>
      <c r="M11" s="48">
        <f>M6+M7+M8+M9+M10</f>
        <v>683445.61</v>
      </c>
      <c r="N11" s="48">
        <f>N6+N7+N8+N9+N10</f>
        <v>840185.4400000001</v>
      </c>
      <c r="O11" s="48">
        <f>O6+O7+O8+O9+O10</f>
        <v>413053.6</v>
      </c>
      <c r="P11" s="48">
        <f>P6+P7+P8+P9+P10</f>
        <v>461936.3</v>
      </c>
      <c r="Q11" s="48">
        <f>Q6+Q7+Q8+Q9+Q10</f>
        <v>357473.97</v>
      </c>
      <c r="R11" s="48">
        <f>R6+R7+R8+R9+R10</f>
        <v>475020.61</v>
      </c>
      <c r="S11" s="48">
        <f>S6+S7+S8+S9+S10</f>
        <v>721584.63</v>
      </c>
      <c r="T11" s="48">
        <f>T6+T7+T8+T9+T10</f>
        <v>591995.23</v>
      </c>
      <c r="U11" s="48">
        <f>U6+U7+U8+U9+U10</f>
        <v>837219.55</v>
      </c>
      <c r="V11" s="48">
        <f>V6+V7+V8+V9+V10</f>
        <v>784311.6699999999</v>
      </c>
      <c r="W11" s="48">
        <f>W6+W7+W8+W9+W10</f>
        <v>438633.12999999995</v>
      </c>
      <c r="X11" s="48">
        <f>X6+X7+X8+X9+X10</f>
        <v>307673.56</v>
      </c>
      <c r="Y11" s="48">
        <f>Y6+Y7+Y8+Y9+Y10</f>
        <v>498582.95</v>
      </c>
      <c r="Z11" s="49">
        <f>B11+C11+D11+E11+F11+G11+H11+I11+J11+K11+L11+M11+N11+O11+P11+Q11+R11+S11+T11+U11+V11+W11+X11+Y11</f>
        <v>1.0583487270000001E7</v>
      </c>
    </row>
    <row r="12" spans="1:25" ht="16">
      <c r="A12" s="36" t="s">
        <v>9</v>
      </c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</row>
    <row r="13" spans="1:26" ht="16">
      <c r="A13" s="37" t="s">
        <v>10</v>
      </c>
      <c r="B13" s="47">
        <v>34100.0</v>
      </c>
      <c r="C13" s="47">
        <v>88060.25</v>
      </c>
      <c r="D13" s="47">
        <v>138771.76</v>
      </c>
      <c r="E13" s="47">
        <v>136472.5</v>
      </c>
      <c r="F13" s="47">
        <v>99818.75</v>
      </c>
      <c r="G13" s="47">
        <v>276707.25</v>
      </c>
      <c r="H13" s="47">
        <v>280000.5</v>
      </c>
      <c r="I13" s="47">
        <v>133235.0</v>
      </c>
      <c r="J13" s="47">
        <v>204298.25</v>
      </c>
      <c r="K13" s="47">
        <v>198170.0</v>
      </c>
      <c r="L13" s="47">
        <v>90966.5</v>
      </c>
      <c r="M13" s="47">
        <v>372483.0</v>
      </c>
      <c r="N13" s="47">
        <v>397038.76</v>
      </c>
      <c r="O13" s="47">
        <v>191634.46</v>
      </c>
      <c r="P13" s="47">
        <v>228544.25</v>
      </c>
      <c r="Q13" s="47">
        <v>178386.21</v>
      </c>
      <c r="R13" s="47">
        <v>236591.25</v>
      </c>
      <c r="S13" s="47">
        <v>351777.5</v>
      </c>
      <c r="T13" s="47">
        <v>291650.38</v>
      </c>
      <c r="U13" s="47">
        <v>431256.0</v>
      </c>
      <c r="V13" s="47">
        <v>403415.27</v>
      </c>
      <c r="W13" s="47">
        <v>178132.0</v>
      </c>
      <c r="X13" s="47">
        <v>117797.5</v>
      </c>
      <c r="Y13" s="47">
        <v>229810.0</v>
      </c>
      <c r="Z13" s="47">
        <f>B13+C13+D13+E13+F13+G13+H13+I13+J13+K13+L13+M13+N13+O13+P13+Q13+R13+S13+T13+U13+V13+W13+X13+Y13</f>
        <v>5289117.34</v>
      </c>
    </row>
    <row r="14" spans="1:26" ht="16">
      <c r="A14" s="37" t="s">
        <v>11</v>
      </c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7">
        <v>990.76</v>
      </c>
      <c r="N14" s="47">
        <v>2083.83</v>
      </c>
      <c r="O14" s="47">
        <v>2095.7</v>
      </c>
      <c r="P14" s="47">
        <v>1432.25</v>
      </c>
      <c r="Q14" s="47">
        <v>1460.81</v>
      </c>
      <c r="R14" s="47">
        <v>1437.29</v>
      </c>
      <c r="S14" s="47">
        <v>2140.82</v>
      </c>
      <c r="T14" s="47">
        <v>1950.8</v>
      </c>
      <c r="U14" s="47">
        <v>2643.69</v>
      </c>
      <c r="V14" s="47">
        <v>1707.35</v>
      </c>
      <c r="W14" s="47">
        <v>1729.07</v>
      </c>
      <c r="X14" s="47">
        <v>1715.76</v>
      </c>
      <c r="Y14" s="47">
        <v>2516.22</v>
      </c>
      <c r="Z14" s="47">
        <f>B14+C14+D14+E14+F14+G14+H14+I14+J14+K14+L14+M14+N14+O14+P14+Q14+R14+S14+T14+U14+V14+W14+X14+Y14</f>
        <v>23904.35</v>
      </c>
    </row>
    <row r="15" spans="1:26" ht="16">
      <c r="A15" s="37" t="s">
        <v>12</v>
      </c>
      <c r="B15" s="47">
        <v>733.38</v>
      </c>
      <c r="C15" s="47">
        <v>2825.95</v>
      </c>
      <c r="D15" s="47">
        <v>3587.25</v>
      </c>
      <c r="E15" s="47">
        <v>4050.61</v>
      </c>
      <c r="F15" s="47">
        <v>3807.84</v>
      </c>
      <c r="G15" s="47">
        <v>8381.03</v>
      </c>
      <c r="H15" s="47">
        <v>10293.08</v>
      </c>
      <c r="I15" s="47">
        <v>4791.04</v>
      </c>
      <c r="J15" s="47">
        <v>7009.77</v>
      </c>
      <c r="K15" s="47">
        <v>6473.05</v>
      </c>
      <c r="L15" s="47">
        <v>3126.6</v>
      </c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7">
        <f>B15+C15+D15+E15+F15+G15+H15+I15+J15+K15+L15+M15+N15+O15+P15+Q15+R15+S15+T15+U15+V15+W15+X15+Y15</f>
        <v>55079.6</v>
      </c>
    </row>
    <row r="16" spans="1:26" ht="16">
      <c r="A16" s="38" t="s">
        <v>13</v>
      </c>
      <c r="B16" s="48">
        <f>B12+B13+B14+B15</f>
        <v>34833.38</v>
      </c>
      <c r="C16" s="48">
        <f>C12+C13+C14+C15</f>
        <v>90886.2</v>
      </c>
      <c r="D16" s="48">
        <f>D12+D13+D14+D15</f>
        <v>142359.01</v>
      </c>
      <c r="E16" s="48">
        <f>E12+E13+E14+E15</f>
        <v>140523.11</v>
      </c>
      <c r="F16" s="48">
        <f>F12+F13+F14+F15</f>
        <v>103626.59</v>
      </c>
      <c r="G16" s="48">
        <f>G12+G13+G14+G15</f>
        <v>285088.28</v>
      </c>
      <c r="H16" s="48">
        <f>H12+H13+H14+H15</f>
        <v>290293.58</v>
      </c>
      <c r="I16" s="48">
        <f>I12+I13+I14+I15</f>
        <v>138026.04</v>
      </c>
      <c r="J16" s="48">
        <f>J12+J13+J14+J15</f>
        <v>211308.02</v>
      </c>
      <c r="K16" s="48">
        <f>K12+K13+K14+K15</f>
        <v>204643.05</v>
      </c>
      <c r="L16" s="48">
        <f>L12+L13+L14+L15</f>
        <v>94093.1</v>
      </c>
      <c r="M16" s="48">
        <f>M12+M13+M14+M15</f>
        <v>373473.76</v>
      </c>
      <c r="N16" s="48">
        <f>N12+N13+N14+N15</f>
        <v>399122.59</v>
      </c>
      <c r="O16" s="48">
        <f>O12+O13+O14+O15</f>
        <v>193730.16</v>
      </c>
      <c r="P16" s="48">
        <f>P12+P13+P14+P15</f>
        <v>229976.5</v>
      </c>
      <c r="Q16" s="48">
        <f>Q12+Q13+Q14+Q15</f>
        <v>179847.02</v>
      </c>
      <c r="R16" s="48">
        <f>R12+R13+R14+R15</f>
        <v>238028.54</v>
      </c>
      <c r="S16" s="48">
        <f>S12+S13+S14+S15</f>
        <v>353918.32</v>
      </c>
      <c r="T16" s="48">
        <f>T12+T13+T14+T15</f>
        <v>293601.18</v>
      </c>
      <c r="U16" s="48">
        <f>U12+U13+U14+U15</f>
        <v>433899.69</v>
      </c>
      <c r="V16" s="48">
        <f>V12+V13+V14+V15</f>
        <v>405122.62</v>
      </c>
      <c r="W16" s="48">
        <f>W12+W13+W14+W15</f>
        <v>179861.07</v>
      </c>
      <c r="X16" s="48">
        <f>X12+X13+X14+X15</f>
        <v>119513.26</v>
      </c>
      <c r="Y16" s="48">
        <f>Y12+Y13+Y14+Y15</f>
        <v>232326.22</v>
      </c>
      <c r="Z16" s="49">
        <f>B16+C16+D16+E16+F16+G16+H16+I16+J16+K16+L16+M16+N16+O16+P16+Q16+R16+S16+T16+U16+V16+W16+X16+Y16</f>
        <v>5368101.29</v>
      </c>
    </row>
    <row r="17" spans="1:26" ht="16">
      <c r="A17" s="38" t="s">
        <v>14</v>
      </c>
      <c r="B17" s="48">
        <f>B11-B16</f>
        <v>52052.63999999999</v>
      </c>
      <c r="C17" s="48">
        <f>C11-C16</f>
        <v>76449.43000000001</v>
      </c>
      <c r="D17" s="48">
        <f>D11-D16</f>
        <v>96713.34999999998</v>
      </c>
      <c r="E17" s="48">
        <f>E11-E16</f>
        <v>109470.39000000001</v>
      </c>
      <c r="F17" s="48">
        <f>F11-F16</f>
        <v>146247.68999999997</v>
      </c>
      <c r="G17" s="48">
        <f>G11-G16</f>
        <v>156641.29999999993</v>
      </c>
      <c r="H17" s="48">
        <f>H11-H16</f>
        <v>235956.78999999998</v>
      </c>
      <c r="I17" s="48">
        <f>I11-I16</f>
        <v>121921.57999999999</v>
      </c>
      <c r="J17" s="48">
        <f>J11-J16</f>
        <v>168598.15000000005</v>
      </c>
      <c r="K17" s="48">
        <f>K11-K16</f>
        <v>165061.53000000003</v>
      </c>
      <c r="L17" s="48">
        <f>L11-L16</f>
        <v>107577.81</v>
      </c>
      <c r="M17" s="48">
        <f>M11-M16</f>
        <v>309971.85</v>
      </c>
      <c r="N17" s="48">
        <f>N11-N16</f>
        <v>441062.85000000003</v>
      </c>
      <c r="O17" s="48">
        <f>O11-O16</f>
        <v>219323.43999999997</v>
      </c>
      <c r="P17" s="48">
        <f>P11-P16</f>
        <v>231959.8</v>
      </c>
      <c r="Q17" s="48">
        <f>Q11-Q16</f>
        <v>177626.94999999998</v>
      </c>
      <c r="R17" s="48">
        <f>R11-R16</f>
        <v>236992.06999999998</v>
      </c>
      <c r="S17" s="48">
        <f>S11-S16</f>
        <v>367666.31</v>
      </c>
      <c r="T17" s="48">
        <f>T11-T16</f>
        <v>298394.05</v>
      </c>
      <c r="U17" s="48">
        <f>U11-U16</f>
        <v>403319.86000000004</v>
      </c>
      <c r="V17" s="48">
        <f>V11-V16</f>
        <v>379189.04999999993</v>
      </c>
      <c r="W17" s="48">
        <f>W11-W16</f>
        <v>258772.05999999994</v>
      </c>
      <c r="X17" s="48">
        <f>X11-X16</f>
        <v>188160.3</v>
      </c>
      <c r="Y17" s="48">
        <f>Y11-Y16</f>
        <v>266256.73</v>
      </c>
      <c r="Z17" s="49">
        <f>B17+C17+D17+E17+F17+G17+H17+I17+J17+K17+L17+M17+N17+O17+P17+Q17+R17+S17+T17+U17+V17+W17+X17+Y17</f>
        <v>5215385.979999999</v>
      </c>
    </row>
    <row r="18" spans="1:25" ht="16">
      <c r="A18" s="36" t="s">
        <v>15</v>
      </c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  <row r="19" spans="1:26" ht="16">
      <c r="A19" s="37" t="s">
        <v>16</v>
      </c>
      <c r="B19" s="47">
        <v>929.69</v>
      </c>
      <c r="C19" s="47">
        <v>1896.9</v>
      </c>
      <c r="D19" s="47">
        <v>2051.64</v>
      </c>
      <c r="E19" s="47">
        <v>2566.54</v>
      </c>
      <c r="F19" s="47">
        <v>2760.14</v>
      </c>
      <c r="G19" s="47">
        <v>1911.89</v>
      </c>
      <c r="H19" s="47">
        <v>2099.68</v>
      </c>
      <c r="I19" s="47">
        <v>2916.48</v>
      </c>
      <c r="J19" s="47">
        <v>2907.03</v>
      </c>
      <c r="K19" s="47">
        <v>1346.41</v>
      </c>
      <c r="L19" s="47">
        <v>4818.45</v>
      </c>
      <c r="M19" s="47">
        <v>1537.6</v>
      </c>
      <c r="N19" s="47">
        <v>1866.68</v>
      </c>
      <c r="O19" s="47">
        <v>1337.75</v>
      </c>
      <c r="P19" s="47">
        <v>2213.93</v>
      </c>
      <c r="Q19" s="47">
        <v>3149.16</v>
      </c>
      <c r="R19" s="47">
        <v>3134.1</v>
      </c>
      <c r="S19" s="47">
        <v>3432.07</v>
      </c>
      <c r="T19" s="47">
        <v>3441.76</v>
      </c>
      <c r="U19" s="47">
        <v>4334.14</v>
      </c>
      <c r="V19" s="47">
        <v>3699.11</v>
      </c>
      <c r="W19" s="47">
        <v>3298.0</v>
      </c>
      <c r="X19" s="47">
        <v>3642.33</v>
      </c>
      <c r="Y19" s="47">
        <v>2412.05</v>
      </c>
      <c r="Z19" s="47">
        <f>B19+C19+D19+E19+F19+G19+H19+I19+J19+K19+L19+M19+N19+O19+P19+Q19+R19+S19+T19+U19+V19+W19+X19+Y19</f>
        <v>63703.530000000006</v>
      </c>
    </row>
    <row r="20" spans="1:26" ht="16">
      <c r="A20" s="37" t="s">
        <v>17</v>
      </c>
      <c r="B20" s="46"/>
      <c r="C20" s="46"/>
      <c r="D20" s="47">
        <v>251.0</v>
      </c>
      <c r="E20" s="46"/>
      <c r="F20" s="47">
        <v>7.66</v>
      </c>
      <c r="G20" s="46"/>
      <c r="H20" s="47">
        <v>10.0</v>
      </c>
      <c r="I20" s="46"/>
      <c r="J20" s="47">
        <v>26.4</v>
      </c>
      <c r="K20" s="46"/>
      <c r="L20" s="46"/>
      <c r="M20" s="47">
        <v>20.0</v>
      </c>
      <c r="N20" s="46"/>
      <c r="O20" s="47">
        <v>74.93</v>
      </c>
      <c r="P20" s="46"/>
      <c r="Q20" s="47">
        <v>58.0</v>
      </c>
      <c r="R20" s="46"/>
      <c r="S20" s="47">
        <v>52.8</v>
      </c>
      <c r="T20" s="46"/>
      <c r="U20" s="47">
        <v>58.0</v>
      </c>
      <c r="V20" s="46"/>
      <c r="W20" s="46"/>
      <c r="X20" s="47">
        <v>52.8</v>
      </c>
      <c r="Y20" s="46"/>
      <c r="Z20" s="47">
        <f>B20+C20+D20+E20+F20+G20+H20+I20+J20+K20+L20+M20+N20+O20+P20+Q20+R20+S20+T20+U20+V20+W20+X20+Y20</f>
        <v>611.5899999999999</v>
      </c>
    </row>
    <row r="21" spans="1:26" ht="16">
      <c r="A21" s="37" t="s">
        <v>18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6">
      <c r="A22" s="39" t="s">
        <v>19</v>
      </c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7">
        <v>1680.11</v>
      </c>
      <c r="U22" s="47">
        <v>1680.11</v>
      </c>
      <c r="V22" s="46"/>
      <c r="W22" s="46"/>
      <c r="X22" s="46"/>
      <c r="Y22" s="47">
        <v>1680.11</v>
      </c>
      <c r="Z22" s="47">
        <f>B22+C22+D22+E22+F22+G22+H22+I22+J22+K22+L22+M22+N22+O22+P22+Q22+R22+S22+T22+U22+V22+W22+X22+Y22</f>
        <v>5040.33</v>
      </c>
    </row>
    <row r="23" spans="1:26" ht="16">
      <c r="A23" s="39" t="s">
        <v>20</v>
      </c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7">
        <v>7000.0</v>
      </c>
      <c r="Q23" s="46"/>
      <c r="R23" s="46"/>
      <c r="S23" s="46"/>
      <c r="T23" s="46"/>
      <c r="U23" s="46"/>
      <c r="V23" s="47">
        <v>1093.46</v>
      </c>
      <c r="W23" s="46"/>
      <c r="X23" s="46"/>
      <c r="Y23" s="46"/>
      <c r="Z23" s="47">
        <f>B23+C23+D23+E23+F23+G23+H23+I23+J23+K23+L23+M23+N23+O23+P23+Q23+R23+S23+T23+U23+V23+W23+X23+Y23</f>
        <v>8093.46</v>
      </c>
    </row>
    <row r="24" spans="1:26" ht="16">
      <c r="A24" s="39" t="s">
        <v>21</v>
      </c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7">
        <v>30000.0</v>
      </c>
      <c r="W24" s="46"/>
      <c r="X24" s="46"/>
      <c r="Y24" s="46"/>
      <c r="Z24" s="47">
        <f>B24+C24+D24+E24+F24+G24+H24+I24+J24+K24+L24+M24+N24+O24+P24+Q24+R24+S24+T24+U24+V24+W24+X24+Y24</f>
        <v>30000.0</v>
      </c>
    </row>
    <row r="25" spans="1:26" ht="16">
      <c r="A25" s="39" t="s">
        <v>22</v>
      </c>
      <c r="B25" s="46"/>
      <c r="C25" s="46"/>
      <c r="D25" s="46"/>
      <c r="E25" s="47">
        <v>2100.0</v>
      </c>
      <c r="F25" s="46"/>
      <c r="G25" s="46"/>
      <c r="H25" s="46"/>
      <c r="I25" s="47">
        <v>2100.0</v>
      </c>
      <c r="J25" s="46"/>
      <c r="K25" s="46"/>
      <c r="L25" s="46"/>
      <c r="M25" s="47">
        <v>2100.0</v>
      </c>
      <c r="N25" s="46"/>
      <c r="O25" s="46"/>
      <c r="P25" s="46"/>
      <c r="Q25" s="46"/>
      <c r="R25" s="47">
        <v>2100.0</v>
      </c>
      <c r="S25" s="46"/>
      <c r="T25" s="46"/>
      <c r="U25" s="46"/>
      <c r="V25" s="47">
        <v>2100.0</v>
      </c>
      <c r="W25" s="46"/>
      <c r="X25" s="46"/>
      <c r="Y25" s="46"/>
      <c r="Z25" s="47">
        <f>B25+C25+D25+E25+F25+G25+H25+I25+J25+K25+L25+M25+N25+O25+P25+Q25+R25+S25+T25+U25+V25+W25+X25+Y25</f>
        <v>10500.0</v>
      </c>
    </row>
    <row r="26" spans="1:26" ht="16">
      <c r="A26" s="39" t="s">
        <v>23</v>
      </c>
      <c r="B26" s="46"/>
      <c r="C26" s="46"/>
      <c r="D26" s="47">
        <v>2025.49</v>
      </c>
      <c r="E26" s="46"/>
      <c r="F26" s="46"/>
      <c r="G26" s="46"/>
      <c r="H26" s="47">
        <v>2025.49</v>
      </c>
      <c r="I26" s="46"/>
      <c r="J26" s="46"/>
      <c r="K26" s="46"/>
      <c r="L26" s="47">
        <v>2025.49</v>
      </c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7">
        <f>B26+C26+D26+E26+F26+G26+H26+I26+J26+K26+L26+M26+N26+O26+P26+Q26+R26+S26+T26+U26+V26+W26+X26+Y26</f>
        <v>6076.47</v>
      </c>
    </row>
    <row r="27" spans="1:26" ht="16">
      <c r="A27" s="39" t="s">
        <v>24</v>
      </c>
      <c r="B27" s="46"/>
      <c r="C27" s="46"/>
      <c r="D27" s="47">
        <v>1228.83</v>
      </c>
      <c r="E27" s="46"/>
      <c r="F27" s="46"/>
      <c r="G27" s="46"/>
      <c r="H27" s="46"/>
      <c r="I27" s="47">
        <v>1228.83</v>
      </c>
      <c r="J27" s="46"/>
      <c r="K27" s="46"/>
      <c r="L27" s="46"/>
      <c r="M27" s="47">
        <v>1228.83</v>
      </c>
      <c r="N27" s="46"/>
      <c r="O27" s="46"/>
      <c r="P27" s="46"/>
      <c r="Q27" s="47">
        <v>1228.83</v>
      </c>
      <c r="R27" s="46"/>
      <c r="S27" s="46"/>
      <c r="T27" s="46"/>
      <c r="U27" s="47">
        <v>1228.83</v>
      </c>
      <c r="V27" s="46"/>
      <c r="W27" s="46"/>
      <c r="X27" s="46"/>
      <c r="Y27" s="46"/>
      <c r="Z27" s="47">
        <f>B27+C27+D27+E27+F27+G27+H27+I27+J27+K27+L27+M27+N27+O27+P27+Q27+R27+S27+T27+U27+V27+W27+X27+Y27</f>
        <v>6144.15</v>
      </c>
    </row>
    <row r="28" spans="1:26" ht="16">
      <c r="A28" s="39" t="s">
        <v>25</v>
      </c>
      <c r="B28" s="46"/>
      <c r="C28" s="46"/>
      <c r="D28" s="47">
        <v>1287.92</v>
      </c>
      <c r="E28" s="46"/>
      <c r="F28" s="46"/>
      <c r="G28" s="46"/>
      <c r="H28" s="47">
        <v>1287.92</v>
      </c>
      <c r="I28" s="46"/>
      <c r="J28" s="46"/>
      <c r="K28" s="46"/>
      <c r="L28" s="47">
        <v>1287.92</v>
      </c>
      <c r="M28" s="46"/>
      <c r="N28" s="46"/>
      <c r="O28" s="46"/>
      <c r="P28" s="46"/>
      <c r="Q28" s="47">
        <v>1287.92</v>
      </c>
      <c r="R28" s="46"/>
      <c r="S28" s="46"/>
      <c r="T28" s="46"/>
      <c r="U28" s="47">
        <v>1287.92</v>
      </c>
      <c r="V28" s="46"/>
      <c r="W28" s="46"/>
      <c r="X28" s="46"/>
      <c r="Y28" s="46"/>
      <c r="Z28" s="47">
        <f>B28+C28+D28+E28+F28+G28+H28+I28+J28+K28+L28+M28+N28+O28+P28+Q28+R28+S28+T28+U28+V28+W28+X28+Y28</f>
        <v>6439.6</v>
      </c>
    </row>
    <row r="29" spans="1:26" ht="16">
      <c r="A29" s="39" t="s">
        <v>26</v>
      </c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7">
        <v>4345.09</v>
      </c>
      <c r="S29" s="46"/>
      <c r="T29" s="46"/>
      <c r="U29" s="46"/>
      <c r="V29" s="46"/>
      <c r="W29" s="47">
        <v>665.67</v>
      </c>
      <c r="X29" s="46"/>
      <c r="Y29" s="46"/>
      <c r="Z29" s="47">
        <f>B29+C29+D29+E29+F29+G29+H29+I29+J29+K29+L29+M29+N29+O29+P29+Q29+R29+S29+T29+U29+V29+W29+X29+Y29</f>
        <v>5010.76</v>
      </c>
    </row>
    <row r="30" spans="1:26" ht="16">
      <c r="A30" s="40" t="s">
        <v>27</v>
      </c>
      <c r="B30" s="49">
        <f>B21+B22+B23+B24+B25+B26+B27+B28+B29</f>
        <v>0.0</v>
      </c>
      <c r="C30" s="49">
        <f>C21+C22+C23+C24+C25+C26+C27+C28+C29</f>
        <v>0.0</v>
      </c>
      <c r="D30" s="48">
        <f>D21+D22+D23+D24+D25+D26+D27+D28+D29</f>
        <v>4542.24</v>
      </c>
      <c r="E30" s="48">
        <f>E21+E22+E23+E24+E25+E26+E27+E28+E29</f>
        <v>2100.0</v>
      </c>
      <c r="F30" s="49">
        <f>F21+F22+F23+F24+F25+F26+F27+F28+F29</f>
        <v>0.0</v>
      </c>
      <c r="G30" s="49">
        <f>G21+G22+G23+G24+G25+G26+G27+G28+G29</f>
        <v>0.0</v>
      </c>
      <c r="H30" s="48">
        <f>H21+H22+H23+H24+H25+H26+H27+H28+H29</f>
        <v>3313.41</v>
      </c>
      <c r="I30" s="48">
        <f>I21+I22+I23+I24+I25+I26+I27+I28+I29</f>
        <v>3328.83</v>
      </c>
      <c r="J30" s="49">
        <f>J21+J22+J23+J24+J25+J26+J27+J28+J29</f>
        <v>0.0</v>
      </c>
      <c r="K30" s="49">
        <f>K21+K22+K23+K24+K25+K26+K27+K28+K29</f>
        <v>0.0</v>
      </c>
      <c r="L30" s="48">
        <f>L21+L22+L23+L24+L25+L26+L27+L28+L29</f>
        <v>3313.41</v>
      </c>
      <c r="M30" s="48">
        <f>M21+M22+M23+M24+M25+M26+M27+M28+M29</f>
        <v>3328.83</v>
      </c>
      <c r="N30" s="49">
        <f>N21+N22+N23+N24+N25+N26+N27+N28+N29</f>
        <v>0.0</v>
      </c>
      <c r="O30" s="49">
        <f>O21+O22+O23+O24+O25+O26+O27+O28+O29</f>
        <v>0.0</v>
      </c>
      <c r="P30" s="48">
        <f>P21+P22+P23+P24+P25+P26+P27+P28+P29</f>
        <v>7000.0</v>
      </c>
      <c r="Q30" s="48">
        <f>Q21+Q22+Q23+Q24+Q25+Q26+Q27+Q28+Q29</f>
        <v>2516.75</v>
      </c>
      <c r="R30" s="48">
        <f>R21+R22+R23+R24+R25+R26+R27+R28+R29</f>
        <v>6445.09</v>
      </c>
      <c r="S30" s="49">
        <f>S21+S22+S23+S24+S25+S26+S27+S28+S29</f>
        <v>0.0</v>
      </c>
      <c r="T30" s="48">
        <f>T21+T22+T23+T24+T25+T26+T27+T28+T29</f>
        <v>1680.11</v>
      </c>
      <c r="U30" s="48">
        <f>U21+U22+U23+U24+U25+U26+U27+U28+U29</f>
        <v>4196.86</v>
      </c>
      <c r="V30" s="48">
        <f>V21+V22+V23+V24+V25+V26+V27+V28+V29</f>
        <v>33193.46</v>
      </c>
      <c r="W30" s="48">
        <f>W21+W22+W23+W24+W25+W26+W27+W28+W29</f>
        <v>665.67</v>
      </c>
      <c r="X30" s="49">
        <f>X21+X22+X23+X24+X25+X26+X27+X28+X29</f>
        <v>0.0</v>
      </c>
      <c r="Y30" s="48">
        <f>Y21+Y22+Y23+Y24+Y25+Y26+Y27+Y28+Y29</f>
        <v>1680.11</v>
      </c>
      <c r="Z30" s="49">
        <f>B30+C30+D30+E30+F30+G30+H30+I30+J30+K30+L30+M30+N30+O30+P30+Q30+R30+S30+T30+U30+V30+W30+X30+Y30</f>
        <v>77304.76999999999</v>
      </c>
    </row>
    <row r="31" spans="1:26" ht="16">
      <c r="A31" s="37" t="s">
        <v>28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6">
      <c r="A32" s="39" t="s">
        <v>29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7">
        <v>3000.0</v>
      </c>
      <c r="P32" s="46"/>
      <c r="Q32" s="46"/>
      <c r="R32" s="46"/>
      <c r="S32" s="47">
        <v>3000.0</v>
      </c>
      <c r="T32" s="46"/>
      <c r="U32" s="46"/>
      <c r="V32" s="46"/>
      <c r="W32" s="46"/>
      <c r="X32" s="47">
        <v>3000.0</v>
      </c>
      <c r="Y32" s="46"/>
      <c r="Z32" s="47">
        <f>B32+C32+D32+E32+F32+G32+H32+I32+J32+K32+L32+M32+N32+O32+P32+Q32+R32+S32+T32+U32+V32+W32+X32+Y32</f>
        <v>9000.0</v>
      </c>
    </row>
    <row r="33" spans="1:26" ht="16">
      <c r="A33" s="39" t="s">
        <v>30</v>
      </c>
      <c r="B33" s="46"/>
      <c r="C33" s="46"/>
      <c r="D33" s="46"/>
      <c r="E33" s="47">
        <v>3000.0</v>
      </c>
      <c r="F33" s="46"/>
      <c r="G33" s="46"/>
      <c r="H33" s="46"/>
      <c r="I33" s="47">
        <v>3000.0</v>
      </c>
      <c r="J33" s="46"/>
      <c r="K33" s="46"/>
      <c r="L33" s="46"/>
      <c r="M33" s="47">
        <v>3000.0</v>
      </c>
      <c r="N33" s="46"/>
      <c r="O33" s="46"/>
      <c r="P33" s="46"/>
      <c r="Q33" s="47">
        <v>3000.0</v>
      </c>
      <c r="R33" s="46"/>
      <c r="S33" s="46"/>
      <c r="T33" s="46"/>
      <c r="U33" s="46"/>
      <c r="V33" s="47">
        <v>3000.0</v>
      </c>
      <c r="W33" s="46"/>
      <c r="X33" s="46"/>
      <c r="Y33" s="46"/>
      <c r="Z33" s="47">
        <f>B33+C33+D33+E33+F33+G33+H33+I33+J33+K33+L33+M33+N33+O33+P33+Q33+R33+S33+T33+U33+V33+W33+X33+Y33</f>
        <v>15000.0</v>
      </c>
    </row>
    <row r="34" spans="1:26" ht="16">
      <c r="A34" s="39" t="s">
        <v>31</v>
      </c>
      <c r="B34" s="46"/>
      <c r="C34" s="47">
        <v>40000.0</v>
      </c>
      <c r="D34" s="46"/>
      <c r="E34" s="46"/>
      <c r="F34" s="47">
        <v>6500.0</v>
      </c>
      <c r="G34" s="46"/>
      <c r="H34" s="46"/>
      <c r="I34" s="46"/>
      <c r="J34" s="47">
        <v>6500.0</v>
      </c>
      <c r="K34" s="46"/>
      <c r="L34" s="46"/>
      <c r="M34" s="46"/>
      <c r="N34" s="46"/>
      <c r="O34" s="47">
        <v>6500.0</v>
      </c>
      <c r="P34" s="46"/>
      <c r="Q34" s="46"/>
      <c r="R34" s="46"/>
      <c r="S34" s="47">
        <v>6500.0</v>
      </c>
      <c r="T34" s="46"/>
      <c r="U34" s="46"/>
      <c r="V34" s="46"/>
      <c r="W34" s="47">
        <v>6500.0</v>
      </c>
      <c r="X34" s="46"/>
      <c r="Y34" s="46"/>
      <c r="Z34" s="47">
        <f>B34+C34+D34+E34+F34+G34+H34+I34+J34+K34+L34+M34+N34+O34+P34+Q34+R34+S34+T34+U34+V34+W34+X34+Y34</f>
        <v>72500.0</v>
      </c>
    </row>
    <row r="35" spans="1:26" ht="16">
      <c r="A35" s="40" t="s">
        <v>32</v>
      </c>
      <c r="B35" s="49">
        <f>B31+B32+B33+B34</f>
        <v>0.0</v>
      </c>
      <c r="C35" s="48">
        <f>C31+C32+C33+C34</f>
        <v>40000.0</v>
      </c>
      <c r="D35" s="49">
        <f>D31+D32+D33+D34</f>
        <v>0.0</v>
      </c>
      <c r="E35" s="48">
        <f>E31+E32+E33+E34</f>
        <v>3000.0</v>
      </c>
      <c r="F35" s="48">
        <f>F31+F32+F33+F34</f>
        <v>6500.0</v>
      </c>
      <c r="G35" s="49">
        <f>G31+G32+G33+G34</f>
        <v>0.0</v>
      </c>
      <c r="H35" s="49">
        <f>H31+H32+H33+H34</f>
        <v>0.0</v>
      </c>
      <c r="I35" s="48">
        <f>I31+I32+I33+I34</f>
        <v>3000.0</v>
      </c>
      <c r="J35" s="48">
        <f>J31+J32+J33+J34</f>
        <v>6500.0</v>
      </c>
      <c r="K35" s="49">
        <f>K31+K32+K33+K34</f>
        <v>0.0</v>
      </c>
      <c r="L35" s="49">
        <f>L31+L32+L33+L34</f>
        <v>0.0</v>
      </c>
      <c r="M35" s="48">
        <f>M31+M32+M33+M34</f>
        <v>3000.0</v>
      </c>
      <c r="N35" s="49">
        <f>N31+N32+N33+N34</f>
        <v>0.0</v>
      </c>
      <c r="O35" s="48">
        <f>O31+O32+O33+O34</f>
        <v>9500.0</v>
      </c>
      <c r="P35" s="49">
        <f>P31+P32+P33+P34</f>
        <v>0.0</v>
      </c>
      <c r="Q35" s="48">
        <f>Q31+Q32+Q33+Q34</f>
        <v>3000.0</v>
      </c>
      <c r="R35" s="49">
        <f>R31+R32+R33+R34</f>
        <v>0.0</v>
      </c>
      <c r="S35" s="48">
        <f>S31+S32+S33+S34</f>
        <v>9500.0</v>
      </c>
      <c r="T35" s="49">
        <f>T31+T32+T33+T34</f>
        <v>0.0</v>
      </c>
      <c r="U35" s="49">
        <f>U31+U32+U33+U34</f>
        <v>0.0</v>
      </c>
      <c r="V35" s="48">
        <f>V31+V32+V33+V34</f>
        <v>3000.0</v>
      </c>
      <c r="W35" s="48">
        <f>W31+W32+W33+W34</f>
        <v>6500.0</v>
      </c>
      <c r="X35" s="48">
        <f>X31+X32+X33+X34</f>
        <v>3000.0</v>
      </c>
      <c r="Y35" s="49">
        <f>Y31+Y32+Y33+Y34</f>
        <v>0.0</v>
      </c>
      <c r="Z35" s="49">
        <f>B35+C35+D35+E35+F35+G35+H35+I35+J35+K35+L35+M35+N35+O35+P35+Q35+R35+S35+T35+U35+V35+W35+X35+Y35</f>
        <v>96500.0</v>
      </c>
    </row>
    <row r="36" spans="1:26" ht="16">
      <c r="A36" s="37" t="s">
        <v>33</v>
      </c>
      <c r="B36" s="47">
        <v>164.95</v>
      </c>
      <c r="C36" s="47">
        <v>1379.62</v>
      </c>
      <c r="D36" s="47">
        <v>524.59</v>
      </c>
      <c r="E36" s="47">
        <v>165.0</v>
      </c>
      <c r="F36" s="47">
        <v>201.96</v>
      </c>
      <c r="G36" s="47">
        <v>1045.67</v>
      </c>
      <c r="H36" s="47">
        <v>226.86</v>
      </c>
      <c r="I36" s="47">
        <v>140.0</v>
      </c>
      <c r="J36" s="47">
        <v>188.55</v>
      </c>
      <c r="K36" s="47">
        <v>1464.9</v>
      </c>
      <c r="L36" s="47">
        <v>68.7</v>
      </c>
      <c r="M36" s="47">
        <v>81.48</v>
      </c>
      <c r="N36" s="47">
        <v>117.93</v>
      </c>
      <c r="O36" s="47">
        <v>1482.93</v>
      </c>
      <c r="P36" s="47">
        <v>77.0</v>
      </c>
      <c r="Q36" s="47">
        <v>72.5</v>
      </c>
      <c r="R36" s="47">
        <v>50.0</v>
      </c>
      <c r="S36" s="47">
        <v>-5229.85</v>
      </c>
      <c r="T36" s="47">
        <v>968.35</v>
      </c>
      <c r="U36" s="47">
        <v>119.5</v>
      </c>
      <c r="V36" s="47">
        <v>124.0</v>
      </c>
      <c r="W36" s="47">
        <v>128.5</v>
      </c>
      <c r="X36" s="47">
        <v>1150.78</v>
      </c>
      <c r="Y36" s="47">
        <v>266.0</v>
      </c>
      <c r="Z36" s="47">
        <f>B36+C36+D36+E36+F36+G36+H36+I36+J36+K36+L36+M36+N36+O36+P36+Q36+R36+S36+T36+U36+V36+W36+X36+Y36</f>
        <v>4979.92</v>
      </c>
    </row>
    <row r="37" spans="1:26" ht="16">
      <c r="A37" s="37" t="s">
        <v>34</v>
      </c>
      <c r="B37" s="46"/>
      <c r="C37" s="46"/>
      <c r="D37" s="46"/>
      <c r="E37" s="46"/>
      <c r="F37" s="46"/>
      <c r="G37" s="47">
        <v>650.0</v>
      </c>
      <c r="H37" s="46"/>
      <c r="I37" s="46"/>
      <c r="J37" s="46"/>
      <c r="K37" s="46"/>
      <c r="L37" s="46"/>
      <c r="M37" s="46"/>
      <c r="N37" s="46"/>
      <c r="O37" s="46"/>
      <c r="P37" s="47">
        <v>500.0</v>
      </c>
      <c r="Q37" s="46"/>
      <c r="R37" s="47">
        <v>250.0</v>
      </c>
      <c r="S37" s="46"/>
      <c r="T37" s="46"/>
      <c r="U37" s="46"/>
      <c r="V37" s="46"/>
      <c r="W37" s="46"/>
      <c r="X37" s="47">
        <v>685.0</v>
      </c>
      <c r="Y37" s="46"/>
      <c r="Z37" s="47">
        <f>B37+C37+D37+E37+F37+G37+H37+I37+J37+K37+L37+M37+N37+O37+P37+Q37+R37+S37+T37+U37+V37+W37+X37+Y37</f>
        <v>2085.0</v>
      </c>
    </row>
    <row r="38" spans="1:26" ht="16">
      <c r="A38" s="37" t="s">
        <v>35</v>
      </c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</row>
    <row r="39" spans="1:26" ht="16">
      <c r="A39" s="39" t="s">
        <v>36</v>
      </c>
      <c r="B39" s="46"/>
      <c r="C39" s="46"/>
      <c r="D39" s="46"/>
      <c r="E39" s="46"/>
      <c r="F39" s="47">
        <v>620.0</v>
      </c>
      <c r="G39" s="46"/>
      <c r="H39" s="46"/>
      <c r="I39" s="46"/>
      <c r="J39" s="47">
        <v>613.25</v>
      </c>
      <c r="K39" s="46"/>
      <c r="L39" s="46"/>
      <c r="M39" s="47">
        <v>1147.5</v>
      </c>
      <c r="N39" s="46"/>
      <c r="O39" s="46"/>
      <c r="P39" s="46"/>
      <c r="Q39" s="47">
        <v>1925.0</v>
      </c>
      <c r="R39" s="46"/>
      <c r="S39" s="46"/>
      <c r="T39" s="46"/>
      <c r="U39" s="47">
        <v>2041.31</v>
      </c>
      <c r="V39" s="46"/>
      <c r="W39" s="47">
        <v>2041.31</v>
      </c>
      <c r="X39" s="46"/>
      <c r="Y39" s="46"/>
      <c r="Z39" s="47">
        <f>B39+C39+D39+E39+F39+G39+H39+I39+J39+K39+L39+M39+N39+O39+P39+Q39+R39+S39+T39+U39+V39+W39+X39+Y39</f>
        <v>8388.369999999999</v>
      </c>
    </row>
    <row r="40" spans="1:26" ht="16">
      <c r="A40" s="39" t="s">
        <v>37</v>
      </c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7">
        <v>825.0</v>
      </c>
      <c r="P40" s="46"/>
      <c r="Q40" s="46"/>
      <c r="R40" s="46"/>
      <c r="S40" s="46"/>
      <c r="T40" s="46"/>
      <c r="U40" s="47">
        <v>188.64</v>
      </c>
      <c r="V40" s="46"/>
      <c r="W40" s="46"/>
      <c r="X40" s="46"/>
      <c r="Y40" s="46"/>
      <c r="Z40" s="47">
        <f>B40+C40+D40+E40+F40+G40+H40+I40+J40+K40+L40+M40+N40+O40+P40+Q40+R40+S40+T40+U40+V40+W40+X40+Y40</f>
        <v>1013.64</v>
      </c>
    </row>
    <row r="41" spans="1:26" ht="16">
      <c r="A41" s="39" t="s">
        <v>38</v>
      </c>
      <c r="B41" s="46"/>
      <c r="C41" s="47">
        <v>1000.0</v>
      </c>
      <c r="D41" s="47">
        <v>1000.0</v>
      </c>
      <c r="E41" s="47">
        <v>1000.0</v>
      </c>
      <c r="F41" s="47">
        <v>1000.0</v>
      </c>
      <c r="G41" s="47">
        <v>1000.0</v>
      </c>
      <c r="H41" s="47">
        <v>1000.0</v>
      </c>
      <c r="I41" s="47">
        <v>1000.0</v>
      </c>
      <c r="J41" s="47">
        <v>1000.0</v>
      </c>
      <c r="K41" s="47">
        <v>1000.0</v>
      </c>
      <c r="L41" s="47">
        <v>1000.0</v>
      </c>
      <c r="M41" s="47">
        <v>1000.0</v>
      </c>
      <c r="N41" s="47">
        <v>1000.0</v>
      </c>
      <c r="O41" s="47">
        <v>1000.0</v>
      </c>
      <c r="P41" s="47">
        <v>1000.0</v>
      </c>
      <c r="Q41" s="47">
        <v>1000.0</v>
      </c>
      <c r="R41" s="47">
        <v>1000.0</v>
      </c>
      <c r="S41" s="47">
        <v>1000.0</v>
      </c>
      <c r="T41" s="47">
        <v>1000.0</v>
      </c>
      <c r="U41" s="47">
        <v>1000.0</v>
      </c>
      <c r="V41" s="47">
        <v>1000.0</v>
      </c>
      <c r="W41" s="47">
        <v>1000.0</v>
      </c>
      <c r="X41" s="47">
        <v>1000.0</v>
      </c>
      <c r="Y41" s="47">
        <v>1000.0</v>
      </c>
      <c r="Z41" s="47">
        <f>B41+C41+D41+E41+F41+G41+H41+I41+J41+K41+L41+M41+N41+O41+P41+Q41+R41+S41+T41+U41+V41+W41+X41+Y41</f>
        <v>23000.0</v>
      </c>
    </row>
    <row r="42" spans="1:26" ht="16">
      <c r="A42" s="39" t="s">
        <v>39</v>
      </c>
      <c r="B42" s="46"/>
      <c r="C42" s="47">
        <v>523.11</v>
      </c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7">
        <f>B42+C42+D42+E42+F42+G42+H42+I42+J42+K42+L42+M42+N42+O42+P42+Q42+R42+S42+T42+U42+V42+W42+X42+Y42</f>
        <v>523.11</v>
      </c>
    </row>
    <row r="43" spans="1:26" ht="16">
      <c r="A43" s="39" t="s">
        <v>40</v>
      </c>
      <c r="B43" s="46"/>
      <c r="C43" s="46"/>
      <c r="D43" s="46"/>
      <c r="E43" s="47">
        <v>2190.0</v>
      </c>
      <c r="F43" s="46"/>
      <c r="G43" s="47">
        <v>2200.0</v>
      </c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7">
        <v>2200.0</v>
      </c>
      <c r="T43" s="46"/>
      <c r="U43" s="46"/>
      <c r="V43" s="46"/>
      <c r="W43" s="46"/>
      <c r="X43" s="47">
        <v>2200.0</v>
      </c>
      <c r="Y43" s="46"/>
      <c r="Z43" s="47">
        <f>B43+C43+D43+E43+F43+G43+H43+I43+J43+K43+L43+M43+N43+O43+P43+Q43+R43+S43+T43+U43+V43+W43+X43+Y43</f>
        <v>8790.0</v>
      </c>
    </row>
    <row r="44" spans="1:26" ht="16">
      <c r="A44" s="39" t="s">
        <v>41</v>
      </c>
      <c r="B44" s="46"/>
      <c r="C44" s="46"/>
      <c r="D44" s="46"/>
      <c r="E44" s="47">
        <v>195.86</v>
      </c>
      <c r="F44" s="46"/>
      <c r="G44" s="46"/>
      <c r="H44" s="46"/>
      <c r="I44" s="47">
        <v>188.64</v>
      </c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  <c r="Z44" s="47">
        <f>B44+C44+D44+E44+F44+G44+H44+I44+J44+K44+L44+M44+N44+O44+P44+Q44+R44+S44+T44+U44+V44+W44+X44+Y44</f>
        <v>384.5</v>
      </c>
    </row>
    <row r="45" spans="1:26" ht="16">
      <c r="A45" s="39" t="s">
        <v>42</v>
      </c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7">
        <v>6810.0</v>
      </c>
      <c r="O45" s="46"/>
      <c r="P45" s="47">
        <v>6810.24</v>
      </c>
      <c r="Q45" s="46"/>
      <c r="R45" s="46"/>
      <c r="S45" s="46"/>
      <c r="T45" s="46"/>
      <c r="U45" s="46"/>
      <c r="V45" s="46"/>
      <c r="W45" s="46"/>
      <c r="X45" s="46"/>
      <c r="Y45" s="46"/>
      <c r="Z45" s="47">
        <f>B45+C45+D45+E45+F45+G45+H45+I45+J45+K45+L45+M45+N45+O45+P45+Q45+R45+S45+T45+U45+V45+W45+X45+Y45</f>
        <v>13620.24</v>
      </c>
    </row>
    <row r="46" spans="1:26" ht="16">
      <c r="A46" s="39" t="s">
        <v>43</v>
      </c>
      <c r="B46" s="46"/>
      <c r="C46" s="47">
        <v>2200.0</v>
      </c>
      <c r="D46" s="47">
        <v>3200.0</v>
      </c>
      <c r="E46" s="47">
        <v>1157.5</v>
      </c>
      <c r="F46" s="47">
        <v>1157.5</v>
      </c>
      <c r="G46" s="47">
        <v>2250.0</v>
      </c>
      <c r="H46" s="47">
        <v>3750.0</v>
      </c>
      <c r="I46" s="47">
        <v>1850.0</v>
      </c>
      <c r="J46" s="47">
        <v>1850.0</v>
      </c>
      <c r="K46" s="47">
        <v>1850.0</v>
      </c>
      <c r="L46" s="47">
        <v>3850.0</v>
      </c>
      <c r="M46" s="47">
        <v>1850.0</v>
      </c>
      <c r="N46" s="47">
        <v>1850.0</v>
      </c>
      <c r="O46" s="47">
        <v>1850.0</v>
      </c>
      <c r="P46" s="47">
        <v>1850.0</v>
      </c>
      <c r="Q46" s="47">
        <v>7278.0</v>
      </c>
      <c r="R46" s="46"/>
      <c r="S46" s="47">
        <v>4400.0</v>
      </c>
      <c r="T46" s="46"/>
      <c r="U46" s="47">
        <v>5655.0</v>
      </c>
      <c r="V46" s="46"/>
      <c r="W46" s="47">
        <v>4166.0</v>
      </c>
      <c r="X46" s="47">
        <v>1000.0</v>
      </c>
      <c r="Y46" s="46"/>
      <c r="Z46" s="47">
        <f>B46+C46+D46+E46+F46+G46+H46+I46+J46+K46+L46+M46+N46+O46+P46+Q46+R46+S46+T46+U46+V46+W46+X46+Y46</f>
        <v>53014.0</v>
      </c>
    </row>
    <row r="47" spans="1:26" ht="16">
      <c r="A47" s="39" t="s">
        <v>44</v>
      </c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7">
        <v>10000.0</v>
      </c>
      <c r="R47" s="46"/>
      <c r="S47" s="47">
        <v>12000.0</v>
      </c>
      <c r="T47" s="46"/>
      <c r="U47" s="46"/>
      <c r="V47" s="47">
        <v>10000.0</v>
      </c>
      <c r="W47" s="46"/>
      <c r="X47" s="46"/>
      <c r="Y47" s="47">
        <v>10000.0</v>
      </c>
      <c r="Z47" s="47">
        <f>B47+C47+D47+E47+F47+G47+H47+I47+J47+K47+L47+M47+N47+O47+P47+Q47+R47+S47+T47+U47+V47+W47+X47+Y47</f>
        <v>42000.0</v>
      </c>
    </row>
    <row r="48" spans="1:26" ht="16">
      <c r="A48" s="39" t="s">
        <v>45</v>
      </c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 spans="1:26" ht="16">
      <c r="A49" s="41" t="s">
        <v>46</v>
      </c>
      <c r="B49" s="46"/>
      <c r="C49" s="47">
        <v>2854.98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7">
        <f>B49+C49+D49+E49+F49+G49+H49+I49+J49+K49+L49+M49+N49+O49+P49+Q49+R49+S49+T49+U49+V49+W49+X49+Y49</f>
        <v>2854.98</v>
      </c>
    </row>
    <row r="50" spans="1:26" ht="16">
      <c r="A50" s="41" t="s">
        <v>47</v>
      </c>
      <c r="B50" s="46"/>
      <c r="C50" s="47">
        <v>1031.19</v>
      </c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7">
        <f>B50+C50+D50+E50+F50+G50+H50+I50+J50+K50+L50+M50+N50+O50+P50+Q50+R50+S50+T50+U50+V50+W50+X50+Y50</f>
        <v>1031.19</v>
      </c>
    </row>
    <row r="51" spans="1:26" ht="16">
      <c r="A51" s="41" t="s">
        <v>48</v>
      </c>
      <c r="B51" s="46"/>
      <c r="C51" s="47">
        <v>64.0</v>
      </c>
      <c r="D51" s="47">
        <v>150.13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7">
        <f>B51+C51+D51+E51+F51+G51+H51+I51+J51+K51+L51+M51+N51+O51+P51+Q51+R51+S51+T51+U51+V51+W51+X51+Y51</f>
        <v>214.13</v>
      </c>
    </row>
    <row r="52" spans="1:26" ht="16">
      <c r="A52" s="42" t="s">
        <v>49</v>
      </c>
      <c r="B52" s="49">
        <f>B48+B49+B50+B51</f>
        <v>0.0</v>
      </c>
      <c r="C52" s="48">
        <f>C48+C49+C50+C51</f>
        <v>3950.17</v>
      </c>
      <c r="D52" s="48">
        <f>D48+D49+D50+D51</f>
        <v>150.13</v>
      </c>
      <c r="E52" s="49">
        <f>E48+E49+E50+E51</f>
        <v>0.0</v>
      </c>
      <c r="F52" s="49">
        <f>F48+F49+F50+F51</f>
        <v>0.0</v>
      </c>
      <c r="G52" s="49">
        <f>G48+G49+G50+G51</f>
        <v>0.0</v>
      </c>
      <c r="H52" s="49">
        <f>H48+H49+H50+H51</f>
        <v>0.0</v>
      </c>
      <c r="I52" s="49">
        <f>I48+I49+I50+I51</f>
        <v>0.0</v>
      </c>
      <c r="J52" s="49">
        <f>J48+J49+J50+J51</f>
        <v>0.0</v>
      </c>
      <c r="K52" s="49">
        <f>K48+K49+K50+K51</f>
        <v>0.0</v>
      </c>
      <c r="L52" s="49">
        <f>L48+L49+L50+L51</f>
        <v>0.0</v>
      </c>
      <c r="M52" s="49">
        <f>M48+M49+M50+M51</f>
        <v>0.0</v>
      </c>
      <c r="N52" s="49">
        <f>N48+N49+N50+N51</f>
        <v>0.0</v>
      </c>
      <c r="O52" s="49">
        <f>O48+O49+O50+O51</f>
        <v>0.0</v>
      </c>
      <c r="P52" s="49">
        <f>P48+P49+P50+P51</f>
        <v>0.0</v>
      </c>
      <c r="Q52" s="49">
        <f>Q48+Q49+Q50+Q51</f>
        <v>0.0</v>
      </c>
      <c r="R52" s="49">
        <f>R48+R49+R50+R51</f>
        <v>0.0</v>
      </c>
      <c r="S52" s="49">
        <f>S48+S49+S50+S51</f>
        <v>0.0</v>
      </c>
      <c r="T52" s="49">
        <f>T48+T49+T50+T51</f>
        <v>0.0</v>
      </c>
      <c r="U52" s="49">
        <f>U48+U49+U50+U51</f>
        <v>0.0</v>
      </c>
      <c r="V52" s="49">
        <f>V48+V49+V50+V51</f>
        <v>0.0</v>
      </c>
      <c r="W52" s="49">
        <f>W48+W49+W50+W51</f>
        <v>0.0</v>
      </c>
      <c r="X52" s="49">
        <f>X48+X49+X50+X51</f>
        <v>0.0</v>
      </c>
      <c r="Y52" s="49">
        <f>Y48+Y49+Y50+Y51</f>
        <v>0.0</v>
      </c>
      <c r="Z52" s="49">
        <f>B52+C52+D52+E52+F52+G52+H52+I52+J52+K52+L52+M52+N52+O52+P52+Q52+R52+S52+T52+U52+V52+W52+X52+Y52</f>
        <v>4100.3</v>
      </c>
    </row>
    <row r="53" spans="1:26" ht="16">
      <c r="A53" s="39" t="s">
        <v>50</v>
      </c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7">
        <v>250.0</v>
      </c>
      <c r="T53" s="46"/>
      <c r="U53" s="47">
        <v>895.0</v>
      </c>
      <c r="V53" s="46"/>
      <c r="W53" s="46"/>
      <c r="X53" s="46"/>
      <c r="Y53" s="46"/>
      <c r="Z53" s="47">
        <f>B53+C53+D53+E53+F53+G53+H53+I53+J53+K53+L53+M53+N53+O53+P53+Q53+R53+S53+T53+U53+V53+W53+X53+Y53</f>
        <v>1145.0</v>
      </c>
    </row>
    <row r="54" spans="1:26" ht="16">
      <c r="A54" s="40" t="s">
        <v>51</v>
      </c>
      <c r="B54" s="49">
        <f>B38+B39+B40+B41+B42+B43+B44+B45+B46+B47+B52+B53</f>
        <v>0.0</v>
      </c>
      <c r="C54" s="48">
        <f>C38+C39+C40+C41+C42+C43+C44+C45+C46+C47+C52+C53</f>
        <v>7673.280000000001</v>
      </c>
      <c r="D54" s="48">
        <f>D38+D39+D40+D41+D42+D43+D44+D45+D46+D47+D52+D53</f>
        <v>4350.13</v>
      </c>
      <c r="E54" s="48">
        <f>E38+E39+E40+E41+E42+E43+E44+E45+E46+E47+E52+E53</f>
        <v>4543.360000000001</v>
      </c>
      <c r="F54" s="48">
        <f>F38+F39+F40+F41+F42+F43+F44+F45+F46+F47+F52+F53</f>
        <v>2777.5</v>
      </c>
      <c r="G54" s="48">
        <f>G38+G39+G40+G41+G42+G43+G44+G45+G46+G47+G52+G53</f>
        <v>5450.0</v>
      </c>
      <c r="H54" s="48">
        <f>H38+H39+H40+H41+H42+H43+H44+H45+H46+H47+H52+H53</f>
        <v>4750.0</v>
      </c>
      <c r="I54" s="48">
        <f>I38+I39+I40+I41+I42+I43+I44+I45+I46+I47+I52+I53</f>
        <v>3038.64</v>
      </c>
      <c r="J54" s="48">
        <f>J38+J39+J40+J41+J42+J43+J44+J45+J46+J47+J52+J53</f>
        <v>3463.25</v>
      </c>
      <c r="K54" s="48">
        <f>K38+K39+K40+K41+K42+K43+K44+K45+K46+K47+K52+K53</f>
        <v>2850.0</v>
      </c>
      <c r="L54" s="48">
        <f>L38+L39+L40+L41+L42+L43+L44+L45+L46+L47+L52+L53</f>
        <v>4850.0</v>
      </c>
      <c r="M54" s="48">
        <f>M38+M39+M40+M41+M42+M43+M44+M45+M46+M47+M52+M53</f>
        <v>3997.5</v>
      </c>
      <c r="N54" s="48">
        <f>N38+N39+N40+N41+N42+N43+N44+N45+N46+N47+N52+N53</f>
        <v>9660.0</v>
      </c>
      <c r="O54" s="48">
        <f>O38+O39+O40+O41+O42+O43+O44+O45+O46+O47+O52+O53</f>
        <v>3675.0</v>
      </c>
      <c r="P54" s="48">
        <f>P38+P39+P40+P41+P42+P43+P44+P45+P46+P47+P52+P53</f>
        <v>9660.24</v>
      </c>
      <c r="Q54" s="48">
        <f>Q38+Q39+Q40+Q41+Q42+Q43+Q44+Q45+Q46+Q47+Q52+Q53</f>
        <v>20203.0</v>
      </c>
      <c r="R54" s="48">
        <f>R38+R39+R40+R41+R42+R43+R44+R45+R46+R47+R52+R53</f>
        <v>1000.0</v>
      </c>
      <c r="S54" s="48">
        <f>S38+S39+S40+S41+S42+S43+S44+S45+S46+S47+S52+S53</f>
        <v>19850.0</v>
      </c>
      <c r="T54" s="48">
        <f>T38+T39+T40+T41+T42+T43+T44+T45+T46+T47+T52+T53</f>
        <v>1000.0</v>
      </c>
      <c r="U54" s="48">
        <f>U38+U39+U40+U41+U42+U43+U44+U45+U46+U47+U52+U53</f>
        <v>9779.95</v>
      </c>
      <c r="V54" s="48">
        <f>V38+V39+V40+V41+V42+V43+V44+V45+V46+V47+V52+V53</f>
        <v>11000.0</v>
      </c>
      <c r="W54" s="48">
        <f>W38+W39+W40+W41+W42+W43+W44+W45+W46+W47+W52+W53</f>
        <v>7207.3099999999995</v>
      </c>
      <c r="X54" s="48">
        <f>X38+X39+X40+X41+X42+X43+X44+X45+X46+X47+X52+X53</f>
        <v>4200.0</v>
      </c>
      <c r="Y54" s="48">
        <f>Y38+Y39+Y40+Y41+Y42+Y43+Y44+Y45+Y46+Y47+Y52+Y53</f>
        <v>11000.0</v>
      </c>
      <c r="Z54" s="49">
        <f>B54+C54+D54+E54+F54+G54+H54+I54+J54+K54+L54+M54+N54+O54+P54+Q54+R54+S54+T54+U54+V54+W54+X54+Y54</f>
        <v>155979.16</v>
      </c>
    </row>
    <row r="55" spans="1:26" ht="16">
      <c r="A55" s="37" t="s">
        <v>52</v>
      </c>
      <c r="B55" s="47">
        <v>73.75</v>
      </c>
      <c r="C55" s="47">
        <v>93.75</v>
      </c>
      <c r="D55" s="47">
        <v>88.5</v>
      </c>
      <c r="E55" s="47">
        <v>44.25</v>
      </c>
      <c r="F55" s="47">
        <v>137.75</v>
      </c>
      <c r="G55" s="47">
        <v>14.75</v>
      </c>
      <c r="H55" s="47">
        <v>29.5</v>
      </c>
      <c r="I55" s="47">
        <v>59.0</v>
      </c>
      <c r="J55" s="47">
        <v>265.75</v>
      </c>
      <c r="K55" s="47">
        <v>325.0</v>
      </c>
      <c r="L55" s="47">
        <v>113.25</v>
      </c>
      <c r="M55" s="47">
        <v>369.0</v>
      </c>
      <c r="N55" s="47">
        <v>157.5</v>
      </c>
      <c r="O55" s="47">
        <v>142.75</v>
      </c>
      <c r="P55" s="47">
        <v>344.75</v>
      </c>
      <c r="Q55" s="47">
        <v>246.0</v>
      </c>
      <c r="R55" s="47">
        <v>211.5</v>
      </c>
      <c r="S55" s="47">
        <v>85.0</v>
      </c>
      <c r="T55" s="47">
        <v>183.5</v>
      </c>
      <c r="U55" s="47">
        <v>199.25</v>
      </c>
      <c r="V55" s="47">
        <v>96.75</v>
      </c>
      <c r="W55" s="47">
        <v>244.5</v>
      </c>
      <c r="X55" s="47">
        <v>168.25</v>
      </c>
      <c r="Y55" s="47">
        <v>127.75</v>
      </c>
      <c r="Z55" s="47">
        <f>B55+C55+D55+E55+F55+G55+H55+I55+J55+K55+L55+M55+N55+O55+P55+Q55+R55+S55+T55+U55+V55+W55+X55+Y55</f>
        <v>3821.75</v>
      </c>
    </row>
    <row r="56" spans="1:26" ht="16">
      <c r="A56" s="37" t="s">
        <v>53</v>
      </c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7">
        <v>13.35</v>
      </c>
      <c r="S56" s="47">
        <v>26.41</v>
      </c>
      <c r="T56" s="47">
        <v>60.43</v>
      </c>
      <c r="U56" s="47">
        <v>40.37</v>
      </c>
      <c r="V56" s="47">
        <v>40.39</v>
      </c>
      <c r="W56" s="47">
        <v>22.96</v>
      </c>
      <c r="X56" s="47">
        <v>35.99</v>
      </c>
      <c r="Y56" s="47">
        <v>40.81</v>
      </c>
      <c r="Z56" s="47">
        <f>B56+C56+D56+E56+F56+G56+H56+I56+J56+K56+L56+M56+N56+O56+P56+Q56+R56+S56+T56+U56+V56+W56+X56+Y56</f>
        <v>280.71000000000004</v>
      </c>
    </row>
    <row r="57" spans="1:26" ht="16">
      <c r="A57" s="37" t="s">
        <v>54</v>
      </c>
      <c r="B57" s="46"/>
      <c r="C57" s="47">
        <v>1432.58</v>
      </c>
      <c r="D57" s="46"/>
      <c r="E57" s="46"/>
      <c r="F57" s="46"/>
      <c r="G57" s="47">
        <v>123.0</v>
      </c>
      <c r="H57" s="46"/>
      <c r="I57" s="46"/>
      <c r="J57" s="46"/>
      <c r="K57" s="47">
        <v>613.13</v>
      </c>
      <c r="L57" s="46"/>
      <c r="M57" s="46"/>
      <c r="N57" s="46"/>
      <c r="O57" s="47">
        <v>59.04</v>
      </c>
      <c r="P57" s="47">
        <v>197.71</v>
      </c>
      <c r="Q57" s="47">
        <v>328.42</v>
      </c>
      <c r="R57" s="46"/>
      <c r="S57" s="47">
        <v>586.77</v>
      </c>
      <c r="T57" s="46"/>
      <c r="U57" s="46"/>
      <c r="V57" s="46"/>
      <c r="W57" s="47">
        <v>20000.0</v>
      </c>
      <c r="X57" s="46"/>
      <c r="Y57" s="46"/>
      <c r="Z57" s="47">
        <f>B57+C57+D57+E57+F57+G57+H57+I57+J57+K57+L57+M57+N57+O57+P57+Q57+R57+S57+T57+U57+V57+W57+X57+Y57</f>
        <v>23340.65</v>
      </c>
    </row>
    <row r="58" spans="1:26" ht="16">
      <c r="A58" s="37" t="s">
        <v>55</v>
      </c>
      <c r="B58" s="47">
        <v>2595.88</v>
      </c>
      <c r="C58" s="47">
        <v>143.18</v>
      </c>
      <c r="D58" s="47">
        <v>3782.84</v>
      </c>
      <c r="E58" s="47">
        <v>6770.32</v>
      </c>
      <c r="F58" s="47">
        <v>2779.42</v>
      </c>
      <c r="G58" s="47">
        <v>2918.63</v>
      </c>
      <c r="H58" s="47">
        <v>7892.59</v>
      </c>
      <c r="I58" s="47">
        <v>647.23</v>
      </c>
      <c r="J58" s="47">
        <v>8840.18</v>
      </c>
      <c r="K58" s="47">
        <v>1470.98</v>
      </c>
      <c r="L58" s="47">
        <v>3178.99</v>
      </c>
      <c r="M58" s="47">
        <v>838.91</v>
      </c>
      <c r="N58" s="47">
        <v>6966.5</v>
      </c>
      <c r="O58" s="47">
        <v>5953.72</v>
      </c>
      <c r="P58" s="47">
        <v>447.0</v>
      </c>
      <c r="Q58" s="47">
        <v>1507.02</v>
      </c>
      <c r="R58" s="47">
        <v>2703.24</v>
      </c>
      <c r="S58" s="47">
        <v>8453.13</v>
      </c>
      <c r="T58" s="47">
        <v>500.0</v>
      </c>
      <c r="U58" s="47">
        <v>4104.55</v>
      </c>
      <c r="V58" s="47">
        <v>2523.59</v>
      </c>
      <c r="W58" s="47">
        <v>8773.15</v>
      </c>
      <c r="X58" s="47">
        <v>4339.74</v>
      </c>
      <c r="Y58" s="47">
        <v>3450.0</v>
      </c>
      <c r="Z58" s="47">
        <f>B58+C58+D58+E58+F58+G58+H58+I58+J58+K58+L58+M58+N58+O58+P58+Q58+R58+S58+T58+U58+V58+W58+X58+Y58</f>
        <v>91580.79000000001</v>
      </c>
    </row>
    <row r="59" spans="1:26" ht="16">
      <c r="A59" s="37" t="s">
        <v>56</v>
      </c>
      <c r="B59" s="46"/>
      <c r="C59" s="47">
        <v>240.0</v>
      </c>
      <c r="D59" s="46"/>
      <c r="E59" s="47">
        <v>360.0</v>
      </c>
      <c r="F59" s="46"/>
      <c r="G59" s="47">
        <v>160.0</v>
      </c>
      <c r="H59" s="46"/>
      <c r="I59" s="47">
        <v>160.0</v>
      </c>
      <c r="J59" s="47">
        <v>154.22</v>
      </c>
      <c r="K59" s="47">
        <v>295.99</v>
      </c>
      <c r="L59" s="47">
        <v>261.78</v>
      </c>
      <c r="M59" s="47">
        <v>474.69</v>
      </c>
      <c r="N59" s="47">
        <v>314.69</v>
      </c>
      <c r="O59" s="47">
        <v>474.69</v>
      </c>
      <c r="P59" s="46"/>
      <c r="Q59" s="47">
        <v>160.0</v>
      </c>
      <c r="R59" s="46"/>
      <c r="S59" s="47">
        <v>3410.0</v>
      </c>
      <c r="T59" s="47">
        <v>4550.0</v>
      </c>
      <c r="U59" s="47">
        <v>3434.0</v>
      </c>
      <c r="V59" s="47">
        <v>160.0</v>
      </c>
      <c r="W59" s="47">
        <v>180.0</v>
      </c>
      <c r="X59" s="47">
        <v>1300.0</v>
      </c>
      <c r="Y59" s="47">
        <v>1081.58</v>
      </c>
      <c r="Z59" s="47">
        <f>B59+C59+D59+E59+F59+G59+H59+I59+J59+K59+L59+M59+N59+O59+P59+Q59+R59+S59+T59+U59+V59+W59+X59+Y59</f>
        <v>17171.64</v>
      </c>
    </row>
    <row r="60" spans="1:26" ht="16">
      <c r="A60" s="39" t="s">
        <v>57</v>
      </c>
      <c r="B60" s="46"/>
      <c r="C60" s="46"/>
      <c r="D60" s="47">
        <v>1105.0</v>
      </c>
      <c r="E60" s="47">
        <v>2890.0</v>
      </c>
      <c r="F60" s="47">
        <v>8543.75</v>
      </c>
      <c r="G60" s="47">
        <v>5517.5</v>
      </c>
      <c r="H60" s="47">
        <v>7047.5</v>
      </c>
      <c r="I60" s="47">
        <v>3740.0</v>
      </c>
      <c r="J60" s="47">
        <v>3081.25</v>
      </c>
      <c r="K60" s="47">
        <v>8000.0</v>
      </c>
      <c r="L60" s="46"/>
      <c r="M60" s="47">
        <v>4904.5</v>
      </c>
      <c r="N60" s="47">
        <v>722.5</v>
      </c>
      <c r="O60" s="46"/>
      <c r="P60" s="46"/>
      <c r="Q60" s="46"/>
      <c r="R60" s="47">
        <v>1682.5</v>
      </c>
      <c r="S60" s="47">
        <v>8776.25</v>
      </c>
      <c r="T60" s="47">
        <v>1742.5</v>
      </c>
      <c r="U60" s="47">
        <v>10060.55</v>
      </c>
      <c r="V60" s="47">
        <v>14420.0</v>
      </c>
      <c r="W60" s="47">
        <v>17392.5</v>
      </c>
      <c r="X60" s="47">
        <v>16982.5</v>
      </c>
      <c r="Y60" s="47">
        <v>28692.5</v>
      </c>
      <c r="Z60" s="47">
        <f>B60+C60+D60+E60+F60+G60+H60+I60+J60+K60+L60+M60+N60+O60+P60+Q60+R60+S60+T60+U60+V60+W60+X60+Y60</f>
        <v>145301.3</v>
      </c>
    </row>
    <row r="61" spans="1:26" ht="16">
      <c r="A61" s="40" t="s">
        <v>58</v>
      </c>
      <c r="B61" s="49">
        <f>B59+B60</f>
        <v>0.0</v>
      </c>
      <c r="C61" s="48">
        <f>C59+C60</f>
        <v>240.0</v>
      </c>
      <c r="D61" s="48">
        <f>D59+D60</f>
        <v>1105.0</v>
      </c>
      <c r="E61" s="48">
        <f>E59+E60</f>
        <v>3250.0</v>
      </c>
      <c r="F61" s="48">
        <f>F59+F60</f>
        <v>8543.75</v>
      </c>
      <c r="G61" s="48">
        <f>G59+G60</f>
        <v>5677.5</v>
      </c>
      <c r="H61" s="48">
        <f>H59+H60</f>
        <v>7047.5</v>
      </c>
      <c r="I61" s="48">
        <f>I59+I60</f>
        <v>3900.0</v>
      </c>
      <c r="J61" s="48">
        <f>J59+J60</f>
        <v>3235.47</v>
      </c>
      <c r="K61" s="48">
        <f>K59+K60</f>
        <v>8295.99</v>
      </c>
      <c r="L61" s="48">
        <f>L59+L60</f>
        <v>261.78</v>
      </c>
      <c r="M61" s="48">
        <f>M59+M60</f>
        <v>5379.19</v>
      </c>
      <c r="N61" s="48">
        <f>N59+N60</f>
        <v>1037.19</v>
      </c>
      <c r="O61" s="48">
        <f>O59+O60</f>
        <v>474.69</v>
      </c>
      <c r="P61" s="49">
        <f>P59+P60</f>
        <v>0.0</v>
      </c>
      <c r="Q61" s="48">
        <f>Q59+Q60</f>
        <v>160.0</v>
      </c>
      <c r="R61" s="48">
        <f>R59+R60</f>
        <v>1682.5</v>
      </c>
      <c r="S61" s="48">
        <f>S59+S60</f>
        <v>12186.25</v>
      </c>
      <c r="T61" s="48">
        <f>T59+T60</f>
        <v>6292.5</v>
      </c>
      <c r="U61" s="48">
        <f>U59+U60</f>
        <v>13494.55</v>
      </c>
      <c r="V61" s="48">
        <f>V59+V60</f>
        <v>14580.0</v>
      </c>
      <c r="W61" s="48">
        <f>W59+W60</f>
        <v>17572.5</v>
      </c>
      <c r="X61" s="48">
        <f>X59+X60</f>
        <v>18282.5</v>
      </c>
      <c r="Y61" s="48">
        <f>Y59+Y60</f>
        <v>29774.08</v>
      </c>
      <c r="Z61" s="49">
        <f>B61+C61+D61+E61+F61+G61+H61+I61+J61+K61+L61+M61+N61+O61+P61+Q61+R61+S61+T61+U61+V61+W61+X61+Y61</f>
        <v>162472.94</v>
      </c>
    </row>
    <row r="62" spans="1:26" ht="16">
      <c r="A62" s="37" t="s">
        <v>59</v>
      </c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7">
        <v>6015.09</v>
      </c>
      <c r="Z62" s="47">
        <f>B62+C62+D62+E62+F62+G62+H62+I62+J62+K62+L62+M62+N62+O62+P62+Q62+R62+S62+T62+U62+V62+W62+X62+Y62</f>
        <v>6015.09</v>
      </c>
    </row>
    <row r="63" spans="1:26" ht="16">
      <c r="A63" s="37" t="s">
        <v>60</v>
      </c>
      <c r="B63" s="47">
        <v>946.67</v>
      </c>
      <c r="C63" s="47">
        <v>300.95</v>
      </c>
      <c r="D63" s="47">
        <v>750.5</v>
      </c>
      <c r="E63" s="47">
        <v>867.08</v>
      </c>
      <c r="F63" s="47">
        <v>1539.25</v>
      </c>
      <c r="G63" s="47">
        <v>595.0</v>
      </c>
      <c r="H63" s="47">
        <v>192.45</v>
      </c>
      <c r="I63" s="47">
        <v>1096.11</v>
      </c>
      <c r="J63" s="47">
        <v>902.4</v>
      </c>
      <c r="K63" s="47">
        <v>481.0</v>
      </c>
      <c r="L63" s="47">
        <v>352.5</v>
      </c>
      <c r="M63" s="47">
        <v>1288.4</v>
      </c>
      <c r="N63" s="47">
        <v>382.33</v>
      </c>
      <c r="O63" s="47">
        <v>1439.39</v>
      </c>
      <c r="P63" s="47">
        <v>276.0</v>
      </c>
      <c r="Q63" s="47">
        <v>808.0</v>
      </c>
      <c r="R63" s="47">
        <v>1518.11</v>
      </c>
      <c r="S63" s="47">
        <v>1641.79</v>
      </c>
      <c r="T63" s="47">
        <v>305.99</v>
      </c>
      <c r="U63" s="47">
        <v>372.45</v>
      </c>
      <c r="V63" s="47">
        <v>1118.72</v>
      </c>
      <c r="W63" s="47">
        <v>945.99</v>
      </c>
      <c r="X63" s="47">
        <v>871.82</v>
      </c>
      <c r="Y63" s="47">
        <v>219.95</v>
      </c>
      <c r="Z63" s="47">
        <f>B63+C63+D63+E63+F63+G63+H63+I63+J63+K63+L63+M63+N63+O63+P63+Q63+R63+S63+T63+U63+V63+W63+X63+Y63</f>
        <v>19212.850000000002</v>
      </c>
    </row>
    <row r="64" spans="1:26" ht="16">
      <c r="A64" s="37" t="s">
        <v>61</v>
      </c>
      <c r="B64" s="46"/>
      <c r="C64" s="46"/>
      <c r="D64" s="46"/>
      <c r="E64" s="46"/>
      <c r="F64" s="47">
        <v>4262.52</v>
      </c>
      <c r="G64" s="46"/>
      <c r="H64" s="46"/>
      <c r="I64" s="46"/>
      <c r="J64" s="46"/>
      <c r="K64" s="46"/>
      <c r="L64" s="46"/>
      <c r="M64" s="46"/>
      <c r="N64" s="47">
        <v>5000.0</v>
      </c>
      <c r="O64" s="46"/>
      <c r="P64" s="46"/>
      <c r="Q64" s="46"/>
      <c r="R64" s="46"/>
      <c r="S64" s="46"/>
      <c r="T64" s="46"/>
      <c r="U64" s="46"/>
      <c r="V64" s="47">
        <v>3500.0</v>
      </c>
      <c r="W64" s="46"/>
      <c r="X64" s="46"/>
      <c r="Y64" s="47">
        <v>100.0</v>
      </c>
      <c r="Z64" s="47">
        <f>B64+C64+D64+E64+F64+G64+H64+I64+J64+K64+L64+M64+N64+O64+P64+Q64+R64+S64+T64+U64+V64+W64+X64+Y64</f>
        <v>12862.52</v>
      </c>
    </row>
    <row r="65" spans="1:26" ht="16">
      <c r="A65" s="37" t="s">
        <v>62</v>
      </c>
      <c r="B65" s="47">
        <v>190.0</v>
      </c>
      <c r="C65" s="47">
        <v>1191.88</v>
      </c>
      <c r="D65" s="47">
        <v>1318.12</v>
      </c>
      <c r="E65" s="46"/>
      <c r="F65" s="46"/>
      <c r="G65" s="47">
        <v>6176.12</v>
      </c>
      <c r="H65" s="47">
        <v>2709.91</v>
      </c>
      <c r="I65" s="46"/>
      <c r="J65" s="46"/>
      <c r="K65" s="46"/>
      <c r="L65" s="46"/>
      <c r="M65" s="46"/>
      <c r="N65" s="46"/>
      <c r="O65" s="47">
        <v>4645.84</v>
      </c>
      <c r="P65" s="46"/>
      <c r="Q65" s="46"/>
      <c r="R65" s="47">
        <v>755.74</v>
      </c>
      <c r="S65" s="47">
        <v>6526.11</v>
      </c>
      <c r="T65" s="46"/>
      <c r="U65" s="46"/>
      <c r="V65" s="46"/>
      <c r="W65" s="46"/>
      <c r="X65" s="47">
        <v>10760.0</v>
      </c>
      <c r="Y65" s="47">
        <v>3445.47</v>
      </c>
      <c r="Z65" s="47">
        <f>B65+C65+D65+E65+F65+G65+H65+I65+J65+K65+L65+M65+N65+O65+P65+Q65+R65+S65+T65+U65+V65+W65+X65+Y65</f>
        <v>37719.19</v>
      </c>
    </row>
    <row r="66" spans="1:26" ht="16">
      <c r="A66" s="37" t="s">
        <v>63</v>
      </c>
      <c r="B66" s="47">
        <v>67.88</v>
      </c>
      <c r="C66" s="47">
        <v>78.2</v>
      </c>
      <c r="D66" s="47">
        <v>82.07</v>
      </c>
      <c r="E66" s="47">
        <v>203.68</v>
      </c>
      <c r="F66" s="47">
        <v>128.9</v>
      </c>
      <c r="G66" s="47">
        <v>143.71</v>
      </c>
      <c r="H66" s="47">
        <v>207.87</v>
      </c>
      <c r="I66" s="47">
        <v>160.06</v>
      </c>
      <c r="J66" s="47">
        <v>229.97</v>
      </c>
      <c r="K66" s="47">
        <v>89.39</v>
      </c>
      <c r="L66" s="47">
        <v>174.52</v>
      </c>
      <c r="M66" s="47">
        <v>283.85</v>
      </c>
      <c r="N66" s="47">
        <v>250.38</v>
      </c>
      <c r="O66" s="47">
        <v>195.89</v>
      </c>
      <c r="P66" s="47">
        <v>108.68</v>
      </c>
      <c r="Q66" s="47">
        <v>113.27</v>
      </c>
      <c r="R66" s="47">
        <v>454.8</v>
      </c>
      <c r="S66" s="47">
        <v>102.47</v>
      </c>
      <c r="T66" s="47">
        <v>202.34</v>
      </c>
      <c r="U66" s="46"/>
      <c r="V66" s="46"/>
      <c r="W66" s="47">
        <v>160.55</v>
      </c>
      <c r="X66" s="46"/>
      <c r="Y66" s="46"/>
      <c r="Z66" s="47">
        <f>B66+C66+D66+E66+F66+G66+H66+I66+J66+K66+L66+M66+N66+O66+P66+Q66+R66+S66+T66+U66+V66+W66+X66+Y66</f>
        <v>3438.4800000000005</v>
      </c>
    </row>
    <row r="67" spans="1:26" ht="16">
      <c r="A67" s="37" t="s">
        <v>64</v>
      </c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7">
        <v>32.0</v>
      </c>
      <c r="Y67" s="46"/>
      <c r="Z67" s="47">
        <f>B67+C67+D67+E67+F67+G67+H67+I67+J67+K67+L67+M67+N67+O67+P67+Q67+R67+S67+T67+U67+V67+W67+X67+Y67</f>
        <v>32.0</v>
      </c>
    </row>
    <row r="68" spans="1:26" ht="16">
      <c r="A68" s="39" t="s">
        <v>65</v>
      </c>
      <c r="B68" s="46"/>
      <c r="C68" s="46"/>
      <c r="D68" s="46"/>
      <c r="E68" s="47">
        <v>1397.0</v>
      </c>
      <c r="F68" s="46"/>
      <c r="G68" s="46"/>
      <c r="H68" s="46"/>
      <c r="I68" s="47">
        <v>1397.0</v>
      </c>
      <c r="J68" s="46"/>
      <c r="K68" s="46"/>
      <c r="L68" s="46"/>
      <c r="M68" s="47">
        <v>1397.0</v>
      </c>
      <c r="N68" s="46"/>
      <c r="O68" s="46"/>
      <c r="P68" s="46"/>
      <c r="Q68" s="46"/>
      <c r="R68" s="47">
        <v>1397.0</v>
      </c>
      <c r="S68" s="46"/>
      <c r="T68" s="46"/>
      <c r="U68" s="46"/>
      <c r="V68" s="47">
        <v>1397.0</v>
      </c>
      <c r="W68" s="46"/>
      <c r="X68" s="46"/>
      <c r="Y68" s="46"/>
      <c r="Z68" s="47">
        <f>B68+C68+D68+E68+F68+G68+H68+I68+J68+K68+L68+M68+N68+O68+P68+Q68+R68+S68+T68+U68+V68+W68+X68+Y68</f>
        <v>6985.0</v>
      </c>
    </row>
    <row r="69" spans="1:26" ht="16">
      <c r="A69" s="39" t="s">
        <v>66</v>
      </c>
      <c r="B69" s="46"/>
      <c r="C69" s="46"/>
      <c r="D69" s="46"/>
      <c r="E69" s="46"/>
      <c r="F69" s="47">
        <v>426.82</v>
      </c>
      <c r="G69" s="46"/>
      <c r="H69" s="46"/>
      <c r="I69" s="46"/>
      <c r="J69" s="47">
        <v>426.82</v>
      </c>
      <c r="K69" s="46"/>
      <c r="L69" s="46"/>
      <c r="M69" s="46"/>
      <c r="N69" s="47">
        <v>426.82</v>
      </c>
      <c r="O69" s="46"/>
      <c r="P69" s="46"/>
      <c r="Q69" s="46"/>
      <c r="R69" s="46"/>
      <c r="S69" s="47">
        <v>426.82</v>
      </c>
      <c r="T69" s="46"/>
      <c r="U69" s="46"/>
      <c r="V69" s="46"/>
      <c r="W69" s="46"/>
      <c r="X69" s="46"/>
      <c r="Y69" s="46"/>
      <c r="Z69" s="47">
        <f>B69+C69+D69+E69+F69+G69+H69+I69+J69+K69+L69+M69+N69+O69+P69+Q69+R69+S69+T69+U69+V69+W69+X69+Y69</f>
        <v>1707.28</v>
      </c>
    </row>
    <row r="70" spans="1:26" ht="16">
      <c r="A70" s="39" t="s">
        <v>67</v>
      </c>
      <c r="B70" s="46"/>
      <c r="C70" s="47">
        <v>604.99</v>
      </c>
      <c r="D70" s="46"/>
      <c r="E70" s="46"/>
      <c r="F70" s="46"/>
      <c r="G70" s="47">
        <v>604.94</v>
      </c>
      <c r="H70" s="46"/>
      <c r="I70" s="46"/>
      <c r="J70" s="46"/>
      <c r="K70" s="47">
        <v>669.47</v>
      </c>
      <c r="L70" s="46"/>
      <c r="M70" s="46"/>
      <c r="N70" s="46"/>
      <c r="O70" s="46"/>
      <c r="P70" s="47">
        <v>499.57</v>
      </c>
      <c r="Q70" s="46"/>
      <c r="R70" s="46"/>
      <c r="S70" s="46"/>
      <c r="T70" s="47">
        <v>1603.95</v>
      </c>
      <c r="U70" s="46"/>
      <c r="V70" s="47">
        <v>1818.0</v>
      </c>
      <c r="W70" s="46"/>
      <c r="X70" s="47">
        <v>1273.12</v>
      </c>
      <c r="Y70" s="46"/>
      <c r="Z70" s="47">
        <f>B70+C70+D70+E70+F70+G70+H70+I70+J70+K70+L70+M70+N70+O70+P70+Q70+R70+S70+T70+U70+V70+W70+X70+Y70</f>
        <v>7074.04</v>
      </c>
    </row>
    <row r="71" spans="1:26" ht="16">
      <c r="A71" s="39" t="s">
        <v>68</v>
      </c>
      <c r="B71" s="46"/>
      <c r="C71" s="46"/>
      <c r="D71" s="47">
        <v>1930.73</v>
      </c>
      <c r="E71" s="46"/>
      <c r="F71" s="46"/>
      <c r="G71" s="46"/>
      <c r="H71" s="46"/>
      <c r="I71" s="47">
        <v>1930.73</v>
      </c>
      <c r="J71" s="46"/>
      <c r="K71" s="46"/>
      <c r="L71" s="46"/>
      <c r="M71" s="47">
        <v>1930.72</v>
      </c>
      <c r="N71" s="46"/>
      <c r="O71" s="46"/>
      <c r="P71" s="46"/>
      <c r="Q71" s="47">
        <v>1930.72</v>
      </c>
      <c r="R71" s="46"/>
      <c r="S71" s="46"/>
      <c r="T71" s="46"/>
      <c r="U71" s="46"/>
      <c r="V71" s="47">
        <v>1930.72</v>
      </c>
      <c r="W71" s="46"/>
      <c r="X71" s="46"/>
      <c r="Y71" s="46"/>
      <c r="Z71" s="47">
        <f>B71+C71+D71+E71+F71+G71+H71+I71+J71+K71+L71+M71+N71+O71+P71+Q71+R71+S71+T71+U71+V71+W71+X71+Y71</f>
        <v>9653.62</v>
      </c>
    </row>
    <row r="72" spans="1:26" ht="16">
      <c r="A72" s="39" t="s">
        <v>69</v>
      </c>
      <c r="B72" s="46"/>
      <c r="C72" s="46"/>
      <c r="D72" s="47">
        <v>1930.72</v>
      </c>
      <c r="E72" s="46"/>
      <c r="F72" s="46"/>
      <c r="G72" s="46"/>
      <c r="H72" s="46"/>
      <c r="I72" s="47">
        <v>1930.72</v>
      </c>
      <c r="J72" s="46"/>
      <c r="K72" s="46"/>
      <c r="L72" s="46"/>
      <c r="M72" s="47">
        <v>1930.73</v>
      </c>
      <c r="N72" s="46"/>
      <c r="O72" s="46"/>
      <c r="P72" s="46"/>
      <c r="Q72" s="47">
        <v>1930.73</v>
      </c>
      <c r="R72" s="46"/>
      <c r="S72" s="46"/>
      <c r="T72" s="46"/>
      <c r="U72" s="46"/>
      <c r="V72" s="47">
        <v>1930.73</v>
      </c>
      <c r="W72" s="46"/>
      <c r="X72" s="46"/>
      <c r="Y72" s="46"/>
      <c r="Z72" s="47">
        <f>B72+C72+D72+E72+F72+G72+H72+I72+J72+K72+L72+M72+N72+O72+P72+Q72+R72+S72+T72+U72+V72+W72+X72+Y72</f>
        <v>9653.63</v>
      </c>
    </row>
    <row r="73" spans="1:26" ht="16">
      <c r="A73" s="39" t="s">
        <v>70</v>
      </c>
      <c r="B73" s="47">
        <v>987.0</v>
      </c>
      <c r="C73" s="47">
        <v>4494.97</v>
      </c>
      <c r="D73" s="46"/>
      <c r="E73" s="46"/>
      <c r="F73" s="46"/>
      <c r="G73" s="46"/>
      <c r="H73" s="47">
        <v>7311.41</v>
      </c>
      <c r="I73" s="46"/>
      <c r="J73" s="46"/>
      <c r="K73" s="46"/>
      <c r="L73" s="47">
        <v>6158.81</v>
      </c>
      <c r="M73" s="46"/>
      <c r="N73" s="47">
        <v>1205.66</v>
      </c>
      <c r="O73" s="46"/>
      <c r="P73" s="47">
        <v>4494.97</v>
      </c>
      <c r="Q73" s="47">
        <v>1676.0</v>
      </c>
      <c r="R73" s="46"/>
      <c r="S73" s="46"/>
      <c r="T73" s="47">
        <v>705.0</v>
      </c>
      <c r="U73" s="47">
        <v>4494.97</v>
      </c>
      <c r="V73" s="47">
        <v>551.2</v>
      </c>
      <c r="W73" s="46"/>
      <c r="X73" s="46"/>
      <c r="Y73" s="47">
        <v>4494.97</v>
      </c>
      <c r="Z73" s="47">
        <f>B73+C73+D73+E73+F73+G73+H73+I73+J73+K73+L73+M73+N73+O73+P73+Q73+R73+S73+T73+U73+V73+W73+X73+Y73</f>
        <v>36574.96000000001</v>
      </c>
    </row>
    <row r="74" spans="1:26" ht="16">
      <c r="A74" s="39" t="s">
        <v>71</v>
      </c>
      <c r="B74" s="46"/>
      <c r="C74" s="46"/>
      <c r="D74" s="47">
        <v>-13591.09</v>
      </c>
      <c r="E74" s="46"/>
      <c r="F74" s="46"/>
      <c r="G74" s="47">
        <v>5264.38</v>
      </c>
      <c r="H74" s="46"/>
      <c r="I74" s="47">
        <v>6364.39</v>
      </c>
      <c r="J74" s="46"/>
      <c r="K74" s="46"/>
      <c r="L74" s="46"/>
      <c r="M74" s="47">
        <v>5860.78</v>
      </c>
      <c r="N74" s="47">
        <v>18.82</v>
      </c>
      <c r="O74" s="47">
        <v>18.42</v>
      </c>
      <c r="P74" s="47">
        <v>6.89</v>
      </c>
      <c r="Q74" s="47">
        <v>9039.57</v>
      </c>
      <c r="R74" s="47">
        <v>19.17</v>
      </c>
      <c r="S74" s="47">
        <v>20.05</v>
      </c>
      <c r="T74" s="47">
        <v>7.76</v>
      </c>
      <c r="U74" s="47">
        <v>8912.53</v>
      </c>
      <c r="V74" s="47">
        <v>16.88</v>
      </c>
      <c r="W74" s="47">
        <v>10.36</v>
      </c>
      <c r="X74" s="47">
        <v>5.34</v>
      </c>
      <c r="Y74" s="47">
        <v>12596.92</v>
      </c>
      <c r="Z74" s="47">
        <f>B74+C74+D74+E74+F74+G74+H74+I74+J74+K74+L74+M74+N74+O74+P74+Q74+R74+S74+T74+U74+V74+W74+X74+Y74</f>
        <v>34571.17</v>
      </c>
    </row>
    <row r="75" spans="1:26" ht="16">
      <c r="A75" s="40" t="s">
        <v>72</v>
      </c>
      <c r="B75" s="48">
        <f>B67+B68+B69+B70+B71+B72+B73+B74</f>
        <v>987.0</v>
      </c>
      <c r="C75" s="48">
        <f>C67+C68+C69+C70+C71+C72+C73+C74</f>
        <v>5099.96</v>
      </c>
      <c r="D75" s="48">
        <f>D67+D68+D69+D70+D71+D72+D73+D74</f>
        <v>-9729.64</v>
      </c>
      <c r="E75" s="48">
        <f>E67+E68+E69+E70+E71+E72+E73+E74</f>
        <v>1397.0</v>
      </c>
      <c r="F75" s="48">
        <f>F67+F68+F69+F70+F71+F72+F73+F74</f>
        <v>426.82</v>
      </c>
      <c r="G75" s="48">
        <f>G67+G68+G69+G70+G71+G72+G73+G74</f>
        <v>5869.32</v>
      </c>
      <c r="H75" s="48">
        <f>H67+H68+H69+H70+H71+H72+H73+H74</f>
        <v>7311.41</v>
      </c>
      <c r="I75" s="48">
        <f>I67+I68+I69+I70+I71+I72+I73+I74</f>
        <v>11622.84</v>
      </c>
      <c r="J75" s="48">
        <f>J67+J68+J69+J70+J71+J72+J73+J74</f>
        <v>426.82</v>
      </c>
      <c r="K75" s="48">
        <f>K67+K68+K69+K70+K71+K72+K73+K74</f>
        <v>669.47</v>
      </c>
      <c r="L75" s="48">
        <f>L67+L68+L69+L70+L71+L72+L73+L74</f>
        <v>6158.81</v>
      </c>
      <c r="M75" s="48">
        <f>M67+M68+M69+M70+M71+M72+M73+M74</f>
        <v>11119.23</v>
      </c>
      <c r="N75" s="48">
        <f>N67+N68+N69+N70+N71+N72+N73+N74</f>
        <v>1651.3</v>
      </c>
      <c r="O75" s="48">
        <f>O67+O68+O69+O70+O71+O72+O73+O74</f>
        <v>18.42</v>
      </c>
      <c r="P75" s="48">
        <f>P67+P68+P69+P70+P71+P72+P73+P74</f>
        <v>5001.43</v>
      </c>
      <c r="Q75" s="48">
        <f>Q67+Q68+Q69+Q70+Q71+Q72+Q73+Q74</f>
        <v>14577.02</v>
      </c>
      <c r="R75" s="48">
        <f>R67+R68+R69+R70+R71+R72+R73+R74</f>
        <v>1416.17</v>
      </c>
      <c r="S75" s="48">
        <f>S67+S68+S69+S70+S71+S72+S73+S74</f>
        <v>446.87</v>
      </c>
      <c r="T75" s="48">
        <f>T67+T68+T69+T70+T71+T72+T73+T74</f>
        <v>2316.71</v>
      </c>
      <c r="U75" s="48">
        <f>U67+U68+U69+U70+U71+U72+U73+U74</f>
        <v>13407.5</v>
      </c>
      <c r="V75" s="48">
        <f>V67+V68+V69+V70+V71+V72+V73+V74</f>
        <v>7644.530000000001</v>
      </c>
      <c r="W75" s="48">
        <f>W67+W68+W69+W70+W71+W72+W73+W74</f>
        <v>10.36</v>
      </c>
      <c r="X75" s="48">
        <f>X67+X68+X69+X70+X71+X72+X73+X74</f>
        <v>1310.4599999999998</v>
      </c>
      <c r="Y75" s="48">
        <f>Y67+Y68+Y69+Y70+Y71+Y72+Y73+Y74</f>
        <v>17091.89</v>
      </c>
      <c r="Z75" s="49">
        <f>B75+C75+D75+E75+F75+G75+H75+I75+J75+K75+L75+M75+N75+O75+P75+Q75+R75+S75+T75+U75+V75+W75+X75+Y75</f>
        <v>106251.70000000001</v>
      </c>
    </row>
    <row r="76" spans="1:26" ht="16">
      <c r="A76" s="37" t="s">
        <v>73</v>
      </c>
      <c r="B76" s="46"/>
      <c r="C76" s="46"/>
      <c r="D76" s="46"/>
      <c r="E76" s="46"/>
      <c r="F76" s="47">
        <v>2936.72</v>
      </c>
      <c r="G76" s="46"/>
      <c r="H76" s="46"/>
      <c r="I76" s="46"/>
      <c r="J76" s="47">
        <v>2936.72</v>
      </c>
      <c r="K76" s="46"/>
      <c r="L76" s="46"/>
      <c r="M76" s="46"/>
      <c r="N76" s="46"/>
      <c r="O76" s="47">
        <v>2936.72</v>
      </c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7">
        <f>B76+C76+D76+E76+F76+G76+H76+I76+J76+K76+L76+M76+N76+O76+P76+Q76+R76+S76+T76+U76+V76+W76+X76+Y76</f>
        <v>8810.16</v>
      </c>
    </row>
    <row r="77" spans="1:26" ht="16">
      <c r="A77" s="37" t="s">
        <v>74</v>
      </c>
      <c r="B77" s="46"/>
      <c r="C77" s="46"/>
      <c r="D77" s="46"/>
      <c r="E77" s="47">
        <v>2412.0</v>
      </c>
      <c r="F77" s="46"/>
      <c r="G77" s="46"/>
      <c r="H77" s="47">
        <v>1080.5</v>
      </c>
      <c r="I77" s="46"/>
      <c r="J77" s="47">
        <v>109.0</v>
      </c>
      <c r="K77" s="47">
        <v>800.0</v>
      </c>
      <c r="L77" s="46"/>
      <c r="M77" s="46"/>
      <c r="N77" s="47">
        <v>109.0</v>
      </c>
      <c r="O77" s="46"/>
      <c r="P77" s="47">
        <v>25.0</v>
      </c>
      <c r="Q77" s="47">
        <v>1127.0</v>
      </c>
      <c r="R77" s="47">
        <v>1708.0</v>
      </c>
      <c r="S77" s="46"/>
      <c r="T77" s="46"/>
      <c r="U77" s="47">
        <v>1421.0</v>
      </c>
      <c r="V77" s="47">
        <v>218.0</v>
      </c>
      <c r="W77" s="46"/>
      <c r="X77" s="47">
        <v>1950.69</v>
      </c>
      <c r="Y77" s="46"/>
      <c r="Z77" s="47">
        <f>B77+C77+D77+E77+F77+G77+H77+I77+J77+K77+L77+M77+N77+O77+P77+Q77+R77+S77+T77+U77+V77+W77+X77+Y77</f>
        <v>10960.19</v>
      </c>
    </row>
    <row r="78" spans="1:26" ht="16">
      <c r="A78" s="39" t="s">
        <v>75</v>
      </c>
      <c r="B78" s="46"/>
      <c r="C78" s="46"/>
      <c r="D78" s="46"/>
      <c r="E78" s="46"/>
      <c r="F78" s="46"/>
      <c r="G78" s="47">
        <v>1350.0</v>
      </c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7">
        <f>B78+C78+D78+E78+F78+G78+H78+I78+J78+K78+L78+M78+N78+O78+P78+Q78+R78+S78+T78+U78+V78+W78+X78+Y78</f>
        <v>1350.0</v>
      </c>
    </row>
    <row r="79" spans="1:26" ht="16">
      <c r="A79" s="39" t="s">
        <v>76</v>
      </c>
      <c r="B79" s="46"/>
      <c r="C79" s="47">
        <v>3000.0</v>
      </c>
      <c r="D79" s="47">
        <v>2500.0</v>
      </c>
      <c r="E79" s="46"/>
      <c r="F79" s="46"/>
      <c r="G79" s="47">
        <v>3000.0</v>
      </c>
      <c r="H79" s="46"/>
      <c r="I79" s="47">
        <v>3000.0</v>
      </c>
      <c r="J79" s="46"/>
      <c r="K79" s="46"/>
      <c r="L79" s="46"/>
      <c r="M79" s="46"/>
      <c r="N79" s="47">
        <v>4500.0</v>
      </c>
      <c r="O79" s="46"/>
      <c r="P79" s="47">
        <v>4700.0</v>
      </c>
      <c r="Q79" s="46"/>
      <c r="R79" s="46"/>
      <c r="S79" s="46"/>
      <c r="T79" s="47">
        <v>7000.0</v>
      </c>
      <c r="U79" s="46"/>
      <c r="V79" s="46"/>
      <c r="W79" s="47">
        <v>1900.0</v>
      </c>
      <c r="X79" s="46"/>
      <c r="Y79" s="46"/>
      <c r="Z79" s="47">
        <f>B79+C79+D79+E79+F79+G79+H79+I79+J79+K79+L79+M79+N79+O79+P79+Q79+R79+S79+T79+U79+V79+W79+X79+Y79</f>
        <v>29600.0</v>
      </c>
    </row>
    <row r="80" spans="1:26" ht="16">
      <c r="A80" s="39" t="s">
        <v>77</v>
      </c>
      <c r="B80" s="46"/>
      <c r="C80" s="47">
        <v>288.46</v>
      </c>
      <c r="D80" s="47">
        <v>288.46</v>
      </c>
      <c r="E80" s="47">
        <v>288.46</v>
      </c>
      <c r="F80" s="47">
        <v>288.46</v>
      </c>
      <c r="G80" s="47">
        <v>288.46</v>
      </c>
      <c r="H80" s="47">
        <v>288.46</v>
      </c>
      <c r="I80" s="47">
        <v>288.46</v>
      </c>
      <c r="J80" s="47">
        <v>288.46</v>
      </c>
      <c r="K80" s="47">
        <v>288.46</v>
      </c>
      <c r="L80" s="47">
        <v>288.46</v>
      </c>
      <c r="M80" s="47">
        <v>288.46</v>
      </c>
      <c r="N80" s="47">
        <v>288.46</v>
      </c>
      <c r="O80" s="47">
        <v>288.46</v>
      </c>
      <c r="P80" s="47">
        <v>288.46</v>
      </c>
      <c r="Q80" s="47">
        <v>288.46</v>
      </c>
      <c r="R80" s="47">
        <v>288.46</v>
      </c>
      <c r="S80" s="47">
        <v>288.46</v>
      </c>
      <c r="T80" s="47">
        <v>288.46</v>
      </c>
      <c r="U80" s="47">
        <v>288.46</v>
      </c>
      <c r="V80" s="47">
        <v>288.46</v>
      </c>
      <c r="W80" s="47">
        <v>288.46</v>
      </c>
      <c r="X80" s="47">
        <v>288.46</v>
      </c>
      <c r="Y80" s="47">
        <v>288.46</v>
      </c>
      <c r="Z80" s="47">
        <f>B80+C80+D80+E80+F80+G80+H80+I80+J80+K80+L80+M80+N80+O80+P80+Q80+R80+S80+T80+U80+V80+W80+X80+Y80</f>
        <v>6634.58</v>
      </c>
    </row>
    <row r="81" spans="1:26" ht="16">
      <c r="A81" s="39" t="s">
        <v>78</v>
      </c>
      <c r="B81" s="46"/>
      <c r="C81" s="47">
        <v>1710.0</v>
      </c>
      <c r="D81" s="47">
        <v>500.0</v>
      </c>
      <c r="E81" s="47">
        <v>500.0</v>
      </c>
      <c r="F81" s="47">
        <v>500.0</v>
      </c>
      <c r="G81" s="47">
        <v>500.0</v>
      </c>
      <c r="H81" s="47">
        <v>6745.0</v>
      </c>
      <c r="I81" s="47">
        <v>500.0</v>
      </c>
      <c r="J81" s="46"/>
      <c r="K81" s="46"/>
      <c r="L81" s="46"/>
      <c r="M81" s="47">
        <v>1385.0</v>
      </c>
      <c r="N81" s="47">
        <v>10000.0</v>
      </c>
      <c r="O81" s="46"/>
      <c r="P81" s="47">
        <v>245.0</v>
      </c>
      <c r="Q81" s="46"/>
      <c r="R81" s="46"/>
      <c r="S81" s="46"/>
      <c r="T81" s="47">
        <v>210.0</v>
      </c>
      <c r="U81" s="46"/>
      <c r="V81" s="47">
        <v>2500.0</v>
      </c>
      <c r="W81" s="47">
        <v>7809.01</v>
      </c>
      <c r="X81" s="46"/>
      <c r="Y81" s="46"/>
      <c r="Z81" s="47">
        <f>B81+C81+D81+E81+F81+G81+H81+I81+J81+K81+L81+M81+N81+O81+P81+Q81+R81+S81+T81+U81+V81+W81+X81+Y81</f>
        <v>33104.01</v>
      </c>
    </row>
    <row r="82" spans="1:26" ht="16">
      <c r="A82" s="40" t="s">
        <v>79</v>
      </c>
      <c r="B82" s="49">
        <f>B77+B78+B79+B80+B81</f>
        <v>0.0</v>
      </c>
      <c r="C82" s="48">
        <f>C77+C78+C79+C80+C81</f>
        <v>4998.46</v>
      </c>
      <c r="D82" s="48">
        <f>D77+D78+D79+D80+D81</f>
        <v>3288.46</v>
      </c>
      <c r="E82" s="48">
        <f>E77+E78+E79+E80+E81</f>
        <v>3200.46</v>
      </c>
      <c r="F82" s="48">
        <f>F77+F78+F79+F80+F81</f>
        <v>788.46</v>
      </c>
      <c r="G82" s="48">
        <f>G77+G78+G79+G80+G81</f>
        <v>5138.46</v>
      </c>
      <c r="H82" s="48">
        <f>H77+H78+H79+H80+H81</f>
        <v>8113.96</v>
      </c>
      <c r="I82" s="48">
        <f>I77+I78+I79+I80+I81</f>
        <v>3788.46</v>
      </c>
      <c r="J82" s="48">
        <f>J77+J78+J79+J80+J81</f>
        <v>397.46</v>
      </c>
      <c r="K82" s="48">
        <f>K77+K78+K79+K80+K81</f>
        <v>1088.46</v>
      </c>
      <c r="L82" s="48">
        <f>L77+L78+L79+L80+L81</f>
        <v>288.46</v>
      </c>
      <c r="M82" s="48">
        <f>M77+M78+M79+M80+M81</f>
        <v>1673.46</v>
      </c>
      <c r="N82" s="48">
        <f>N77+N78+N79+N80+N81</f>
        <v>14897.46</v>
      </c>
      <c r="O82" s="48">
        <f>O77+O78+O79+O80+O81</f>
        <v>288.46</v>
      </c>
      <c r="P82" s="48">
        <f>P77+P78+P79+P80+P81</f>
        <v>5258.46</v>
      </c>
      <c r="Q82" s="48">
        <f>Q77+Q78+Q79+Q80+Q81</f>
        <v>1415.46</v>
      </c>
      <c r="R82" s="48">
        <f>R77+R78+R79+R80+R81</f>
        <v>1996.46</v>
      </c>
      <c r="S82" s="48">
        <f>S77+S78+S79+S80+S81</f>
        <v>288.46</v>
      </c>
      <c r="T82" s="48">
        <f>T77+T78+T79+T80+T81</f>
        <v>7498.46</v>
      </c>
      <c r="U82" s="48">
        <f>U77+U78+U79+U80+U81</f>
        <v>1709.46</v>
      </c>
      <c r="V82" s="48">
        <f>V77+V78+V79+V80+V81</f>
        <v>3006.46</v>
      </c>
      <c r="W82" s="48">
        <f>W77+W78+W79+W80+W81</f>
        <v>9997.470000000001</v>
      </c>
      <c r="X82" s="48">
        <f>X77+X78+X79+X80+X81</f>
        <v>2239.15</v>
      </c>
      <c r="Y82" s="48">
        <f>Y77+Y78+Y79+Y80+Y81</f>
        <v>288.46</v>
      </c>
      <c r="Z82" s="49">
        <f>B82+C82+D82+E82+F82+G82+H82+I82+J82+K82+L82+M82+N82+O82+P82+Q82+R82+S82+T82+U82+V82+W82+X82+Y82</f>
        <v>81648.78</v>
      </c>
    </row>
    <row r="83" spans="1:26" ht="16">
      <c r="A83" s="37" t="s">
        <v>80</v>
      </c>
      <c r="B83" s="47">
        <v>97.0</v>
      </c>
      <c r="C83" s="47">
        <v>267.18</v>
      </c>
      <c r="D83" s="47">
        <v>631.36</v>
      </c>
      <c r="E83" s="46"/>
      <c r="F83" s="46"/>
      <c r="G83" s="46"/>
      <c r="H83" s="46"/>
      <c r="I83" s="47">
        <v>534.36</v>
      </c>
      <c r="J83" s="47">
        <v>318.62</v>
      </c>
      <c r="K83" s="46"/>
      <c r="L83" s="46"/>
      <c r="M83" s="46"/>
      <c r="N83" s="46"/>
      <c r="O83" s="47">
        <v>267.18</v>
      </c>
      <c r="P83" s="46"/>
      <c r="Q83" s="47">
        <v>195.9</v>
      </c>
      <c r="R83" s="46"/>
      <c r="S83" s="47">
        <v>959.66</v>
      </c>
      <c r="T83" s="46"/>
      <c r="U83" s="46"/>
      <c r="V83" s="46"/>
      <c r="W83" s="47">
        <v>375.6</v>
      </c>
      <c r="X83" s="47">
        <v>250.0</v>
      </c>
      <c r="Y83" s="47">
        <v>241.82</v>
      </c>
      <c r="Z83" s="47">
        <f>B83+C83+D83+E83+F83+G83+H83+I83+J83+K83+L83+M83+N83+O83+P83+Q83+R83+S83+T83+U83+V83+W83+X83+Y83</f>
        <v>4138.679999999999</v>
      </c>
    </row>
    <row r="84" spans="1:26" ht="16">
      <c r="A84" s="37" t="s">
        <v>81</v>
      </c>
      <c r="B84" s="46"/>
      <c r="C84" s="46"/>
      <c r="D84" s="46"/>
      <c r="E84" s="46"/>
      <c r="F84" s="47">
        <v>69.29</v>
      </c>
      <c r="G84" s="46"/>
      <c r="H84" s="47">
        <v>289.25</v>
      </c>
      <c r="I84" s="46"/>
      <c r="J84" s="47">
        <v>96.12</v>
      </c>
      <c r="K84" s="47">
        <v>587.04</v>
      </c>
      <c r="L84" s="46"/>
      <c r="M84" s="47">
        <v>71.29</v>
      </c>
      <c r="N84" s="47">
        <v>310.71</v>
      </c>
      <c r="O84" s="46"/>
      <c r="P84" s="47">
        <v>469.28</v>
      </c>
      <c r="Q84" s="47">
        <v>59.04</v>
      </c>
      <c r="R84" s="47">
        <v>425.13</v>
      </c>
      <c r="S84" s="47">
        <v>1306.4</v>
      </c>
      <c r="T84" s="47">
        <v>489.59</v>
      </c>
      <c r="U84" s="46"/>
      <c r="V84" s="46"/>
      <c r="W84" s="47">
        <v>502.09</v>
      </c>
      <c r="X84" s="47">
        <v>360.62</v>
      </c>
      <c r="Y84" s="46"/>
      <c r="Z84" s="47">
        <f>B84+C84+D84+E84+F84+G84+H84+I84+J84+K84+L84+M84+N84+O84+P84+Q84+R84+S84+T84+U84+V84+W84+X84+Y84</f>
        <v>5035.85</v>
      </c>
    </row>
    <row r="85" spans="1:26" ht="16">
      <c r="A85" s="37" t="s">
        <v>82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6">
      <c r="A86" s="39" t="s">
        <v>83</v>
      </c>
      <c r="B86" s="47">
        <v>549.87</v>
      </c>
      <c r="C86" s="47">
        <v>1479.47</v>
      </c>
      <c r="D86" s="47">
        <v>3343.07</v>
      </c>
      <c r="E86" s="47">
        <v>1487.96</v>
      </c>
      <c r="F86" s="47">
        <v>7594.78</v>
      </c>
      <c r="G86" s="47">
        <v>4331.35</v>
      </c>
      <c r="H86" s="47">
        <v>2723.27</v>
      </c>
      <c r="I86" s="47">
        <v>2129.63</v>
      </c>
      <c r="J86" s="47">
        <v>2445.52</v>
      </c>
      <c r="K86" s="47">
        <v>4131.77</v>
      </c>
      <c r="L86" s="47">
        <v>4927.89</v>
      </c>
      <c r="M86" s="47">
        <v>3422.64</v>
      </c>
      <c r="N86" s="47">
        <v>4555.78</v>
      </c>
      <c r="O86" s="47">
        <v>5163.85</v>
      </c>
      <c r="P86" s="47">
        <v>3037.7</v>
      </c>
      <c r="Q86" s="47">
        <v>2897.1</v>
      </c>
      <c r="R86" s="47">
        <v>2852.25</v>
      </c>
      <c r="S86" s="47">
        <v>8654.85</v>
      </c>
      <c r="T86" s="47">
        <v>6970.2</v>
      </c>
      <c r="U86" s="47">
        <v>4439.98</v>
      </c>
      <c r="V86" s="47">
        <v>3363.1</v>
      </c>
      <c r="W86" s="47">
        <v>13664.76</v>
      </c>
      <c r="X86" s="47">
        <v>5636.89</v>
      </c>
      <c r="Y86" s="47">
        <v>9181.33</v>
      </c>
      <c r="Z86" s="47">
        <f>B86+C86+D86+E86+F86+G86+H86+I86+J86+K86+L86+M86+N86+O86+P86+Q86+R86+S86+T86+U86+V86+W86+X86+Y86</f>
        <v>108985.01</v>
      </c>
    </row>
    <row r="87" spans="1:26" ht="16">
      <c r="A87" s="39" t="s">
        <v>84</v>
      </c>
      <c r="B87" s="46"/>
      <c r="C87" s="47">
        <v>6125.0</v>
      </c>
      <c r="D87" s="47">
        <v>2000.0</v>
      </c>
      <c r="E87" s="47">
        <v>5125.0</v>
      </c>
      <c r="F87" s="47">
        <v>7125.0</v>
      </c>
      <c r="G87" s="47">
        <v>6125.0</v>
      </c>
      <c r="H87" s="47">
        <v>16100.0</v>
      </c>
      <c r="I87" s="47">
        <v>5125.0</v>
      </c>
      <c r="J87" s="47">
        <v>10000.0</v>
      </c>
      <c r="K87" s="47">
        <v>9000.0</v>
      </c>
      <c r="L87" s="47">
        <v>10000.0</v>
      </c>
      <c r="M87" s="47">
        <v>6000.0</v>
      </c>
      <c r="N87" s="47">
        <v>15925.0</v>
      </c>
      <c r="O87" s="47">
        <v>10125.0</v>
      </c>
      <c r="P87" s="47">
        <v>12625.0</v>
      </c>
      <c r="Q87" s="47">
        <v>9635.52</v>
      </c>
      <c r="R87" s="47">
        <v>9925.0</v>
      </c>
      <c r="S87" s="47">
        <v>8625.0</v>
      </c>
      <c r="T87" s="47">
        <v>9425.0</v>
      </c>
      <c r="U87" s="47">
        <v>8625.0</v>
      </c>
      <c r="V87" s="47">
        <v>10625.0</v>
      </c>
      <c r="W87" s="47">
        <v>6625.0</v>
      </c>
      <c r="X87" s="47">
        <v>8625.0</v>
      </c>
      <c r="Y87" s="47">
        <v>8625.0</v>
      </c>
      <c r="Z87" s="47">
        <f>B87+C87+D87+E87+F87+G87+H87+I87+J87+K87+L87+M87+N87+O87+P87+Q87+R87+S87+T87+U87+V87+W87+X87+Y87</f>
        <v>202135.52000000002</v>
      </c>
    </row>
    <row r="88" spans="1:26" ht="16">
      <c r="A88" s="39" t="s">
        <v>85</v>
      </c>
      <c r="B88" s="46"/>
      <c r="C88" s="46"/>
      <c r="D88" s="46"/>
      <c r="E88" s="46"/>
      <c r="F88" s="46"/>
      <c r="G88" s="46"/>
      <c r="H88" s="46"/>
      <c r="I88" s="46"/>
      <c r="J88" s="46"/>
      <c r="K88" s="47">
        <v>2908.56</v>
      </c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7">
        <f>B88+C88+D88+E88+F88+G88+H88+I88+J88+K88+L88+M88+N88+O88+P88+Q88+R88+S88+T88+U88+V88+W88+X88+Y88</f>
        <v>2908.56</v>
      </c>
    </row>
    <row r="89" spans="1:26" ht="16">
      <c r="A89" s="40" t="s">
        <v>86</v>
      </c>
      <c r="B89" s="48">
        <f>B85+B86+B87+B88</f>
        <v>549.87</v>
      </c>
      <c r="C89" s="48">
        <f>C85+C86+C87+C88</f>
        <v>7604.47</v>
      </c>
      <c r="D89" s="48">
        <f>D85+D86+D87+D88</f>
        <v>5343.07</v>
      </c>
      <c r="E89" s="48">
        <f>E85+E86+E87+E88</f>
        <v>6612.96</v>
      </c>
      <c r="F89" s="48">
        <f>F85+F86+F87+F88</f>
        <v>14719.779999999999</v>
      </c>
      <c r="G89" s="48">
        <f>G85+G86+G87+G88</f>
        <v>10456.35</v>
      </c>
      <c r="H89" s="48">
        <f>H85+H86+H87+H88</f>
        <v>18823.27</v>
      </c>
      <c r="I89" s="48">
        <f>I85+I86+I87+I88</f>
        <v>7254.63</v>
      </c>
      <c r="J89" s="48">
        <f>J85+J86+J87+J88</f>
        <v>12445.52</v>
      </c>
      <c r="K89" s="48">
        <f>K85+K86+K87+K88</f>
        <v>16040.33</v>
      </c>
      <c r="L89" s="48">
        <f>L85+L86+L87+L88</f>
        <v>14927.89</v>
      </c>
      <c r="M89" s="48">
        <f>M85+M86+M87+M88</f>
        <v>9422.64</v>
      </c>
      <c r="N89" s="48">
        <f>N85+N86+N87+N88</f>
        <v>20480.78</v>
      </c>
      <c r="O89" s="48">
        <f>O85+O86+O87+O88</f>
        <v>15288.85</v>
      </c>
      <c r="P89" s="48">
        <f>P85+P86+P87+P88</f>
        <v>15662.7</v>
      </c>
      <c r="Q89" s="48">
        <f>Q85+Q86+Q87+Q88</f>
        <v>12532.62</v>
      </c>
      <c r="R89" s="48">
        <f>R85+R86+R87+R88</f>
        <v>12777.25</v>
      </c>
      <c r="S89" s="48">
        <f>S85+S86+S87+S88</f>
        <v>17279.85</v>
      </c>
      <c r="T89" s="48">
        <f>T85+T86+T87+T88</f>
        <v>16395.2</v>
      </c>
      <c r="U89" s="48">
        <f>U85+U86+U87+U88</f>
        <v>13064.98</v>
      </c>
      <c r="V89" s="48">
        <f>V85+V86+V87+V88</f>
        <v>13988.1</v>
      </c>
      <c r="W89" s="48">
        <f>W85+W86+W87+W88</f>
        <v>20289.760000000002</v>
      </c>
      <c r="X89" s="48">
        <f>X85+X86+X87+X88</f>
        <v>14261.89</v>
      </c>
      <c r="Y89" s="48">
        <f>Y85+Y86+Y87+Y88</f>
        <v>17806.33</v>
      </c>
      <c r="Z89" s="49">
        <f>B89+C89+D89+E89+F89+G89+H89+I89+J89+K89+L89+M89+N89+O89+P89+Q89+R89+S89+T89+U89+V89+W89+X89+Y89</f>
        <v>314029.0900000001</v>
      </c>
    </row>
    <row r="90" spans="1:26" ht="16">
      <c r="A90" s="37" t="s">
        <v>87</v>
      </c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7">
        <v>162.0</v>
      </c>
      <c r="S90" s="46"/>
      <c r="T90" s="46"/>
      <c r="U90" s="46"/>
      <c r="V90" s="47">
        <v>994.4</v>
      </c>
      <c r="W90" s="46"/>
      <c r="X90" s="46"/>
      <c r="Y90" s="47">
        <v>153.12</v>
      </c>
      <c r="Z90" s="47">
        <f>B90+C90+D90+E90+F90+G90+H90+I90+J90+K90+L90+M90+N90+O90+P90+Q90+R90+S90+T90+U90+V90+W90+X90+Y90</f>
        <v>1309.52</v>
      </c>
    </row>
    <row r="91" spans="1:26" ht="16">
      <c r="A91" s="37" t="s">
        <v>88</v>
      </c>
      <c r="B91" s="46"/>
      <c r="C91" s="47">
        <v>3583.12</v>
      </c>
      <c r="D91" s="47">
        <v>200.55</v>
      </c>
      <c r="E91" s="47">
        <v>477.0</v>
      </c>
      <c r="F91" s="47">
        <v>387.26</v>
      </c>
      <c r="G91" s="47">
        <v>533.76</v>
      </c>
      <c r="H91" s="47">
        <v>372.76</v>
      </c>
      <c r="I91" s="47">
        <v>239.38</v>
      </c>
      <c r="J91" s="47">
        <v>903.13</v>
      </c>
      <c r="K91" s="47">
        <v>499.71</v>
      </c>
      <c r="L91" s="47">
        <v>61.49</v>
      </c>
      <c r="M91" s="47">
        <v>693.16</v>
      </c>
      <c r="N91" s="47">
        <v>446.9</v>
      </c>
      <c r="O91" s="47">
        <v>3136.26</v>
      </c>
      <c r="P91" s="47">
        <v>342.97</v>
      </c>
      <c r="Q91" s="47">
        <v>318.08</v>
      </c>
      <c r="R91" s="47">
        <v>2443.55</v>
      </c>
      <c r="S91" s="47">
        <v>778.47</v>
      </c>
      <c r="T91" s="47">
        <v>2855.85</v>
      </c>
      <c r="U91" s="47">
        <v>1037.07</v>
      </c>
      <c r="V91" s="47">
        <v>1502.0</v>
      </c>
      <c r="W91" s="47">
        <v>4660.3</v>
      </c>
      <c r="X91" s="47">
        <v>486.35</v>
      </c>
      <c r="Y91" s="47">
        <v>450.43</v>
      </c>
      <c r="Z91" s="47">
        <f>B91+C91+D91+E91+F91+G91+H91+I91+J91+K91+L91+M91+N91+O91+P91+Q91+R91+S91+T91+U91+V91+W91+X91+Y91</f>
        <v>26409.55</v>
      </c>
    </row>
    <row r="92" spans="1:26" ht="16">
      <c r="A92" s="37" t="s">
        <v>89</v>
      </c>
      <c r="B92" s="46"/>
      <c r="C92" s="46"/>
      <c r="D92" s="46"/>
      <c r="E92" s="46"/>
      <c r="F92" s="46"/>
      <c r="G92" s="46"/>
      <c r="H92" s="47">
        <v>5000.0</v>
      </c>
      <c r="I92" s="47">
        <v>5000.0</v>
      </c>
      <c r="J92" s="46"/>
      <c r="K92" s="46"/>
      <c r="L92" s="46"/>
      <c r="M92" s="46"/>
      <c r="N92" s="46"/>
      <c r="O92" s="46"/>
      <c r="P92" s="47">
        <v>25000.0</v>
      </c>
      <c r="Q92" s="46"/>
      <c r="R92" s="47">
        <v>20000.0</v>
      </c>
      <c r="S92" s="47">
        <v>2146.76</v>
      </c>
      <c r="T92" s="47">
        <v>5000.0</v>
      </c>
      <c r="U92" s="47">
        <v>6010.33</v>
      </c>
      <c r="V92" s="47">
        <v>21887.67</v>
      </c>
      <c r="W92" s="47">
        <v>18437.87</v>
      </c>
      <c r="X92" s="47">
        <v>5000.0</v>
      </c>
      <c r="Y92" s="46"/>
      <c r="Z92" s="47">
        <f>B92+C92+D92+E92+F92+G92+H92+I92+J92+K92+L92+M92+N92+O92+P92+Q92+R92+S92+T92+U92+V92+W92+X92+Y92</f>
        <v>113482.62999999999</v>
      </c>
    </row>
    <row r="93" spans="1:26" ht="16">
      <c r="A93" s="37" t="s">
        <v>90</v>
      </c>
      <c r="B93" s="46"/>
      <c r="C93" s="47">
        <v>870.0</v>
      </c>
      <c r="D93" s="46"/>
      <c r="E93" s="46"/>
      <c r="F93" s="46"/>
      <c r="G93" s="46"/>
      <c r="H93" s="47">
        <v>466.4</v>
      </c>
      <c r="I93" s="46"/>
      <c r="J93" s="46"/>
      <c r="K93" s="46"/>
      <c r="L93" s="46"/>
      <c r="M93" s="46"/>
      <c r="N93" s="46"/>
      <c r="O93" s="46"/>
      <c r="P93" s="47">
        <v>1300.0</v>
      </c>
      <c r="Q93" s="47">
        <v>2051.0</v>
      </c>
      <c r="R93" s="47">
        <v>1226.94</v>
      </c>
      <c r="S93" s="46"/>
      <c r="T93" s="46"/>
      <c r="U93" s="47">
        <v>700.0</v>
      </c>
      <c r="V93" s="46"/>
      <c r="W93" s="47">
        <v>983.3</v>
      </c>
      <c r="X93" s="46"/>
      <c r="Y93" s="47">
        <v>1200.0</v>
      </c>
      <c r="Z93" s="47">
        <f>B93+C93+D93+E93+F93+G93+H93+I93+J93+K93+L93+M93+N93+O93+P93+Q93+R93+S93+T93+U93+V93+W93+X93+Y93</f>
        <v>8797.64</v>
      </c>
    </row>
    <row r="94" spans="1:26" ht="16">
      <c r="A94" s="37" t="s">
        <v>91</v>
      </c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6">
      <c r="A95" s="39" t="s">
        <v>92</v>
      </c>
      <c r="B95" s="46"/>
      <c r="C95" s="46"/>
      <c r="D95" s="46"/>
      <c r="E95" s="47">
        <v>2024.24</v>
      </c>
      <c r="F95" s="46"/>
      <c r="G95" s="47">
        <v>5454.42</v>
      </c>
      <c r="H95" s="47">
        <v>3829.31</v>
      </c>
      <c r="I95" s="47">
        <v>1131.47</v>
      </c>
      <c r="J95" s="46"/>
      <c r="K95" s="47">
        <v>1302.32</v>
      </c>
      <c r="L95" s="46"/>
      <c r="M95" s="47">
        <v>1996.94</v>
      </c>
      <c r="N95" s="47">
        <v>3644.77</v>
      </c>
      <c r="O95" s="47">
        <v>1546.97</v>
      </c>
      <c r="P95" s="47">
        <v>2970.88</v>
      </c>
      <c r="Q95" s="47">
        <v>1460.97</v>
      </c>
      <c r="R95" s="46"/>
      <c r="S95" s="47">
        <v>3246.82</v>
      </c>
      <c r="T95" s="47">
        <v>1635.21</v>
      </c>
      <c r="U95" s="47">
        <v>1718.63</v>
      </c>
      <c r="V95" s="47">
        <v>1617.65</v>
      </c>
      <c r="W95" s="47">
        <v>1613.35</v>
      </c>
      <c r="X95" s="46"/>
      <c r="Y95" s="47">
        <v>1416.17</v>
      </c>
      <c r="Z95" s="47">
        <f>B95+C95+D95+E95+F95+G95+H95+I95+J95+K95+L95+M95+N95+O95+P95+Q95+R95+S95+T95+U95+V95+W95+X95+Y95</f>
        <v>36610.119999999995</v>
      </c>
    </row>
    <row r="96" spans="1:26" ht="16">
      <c r="A96" s="39" t="s">
        <v>93</v>
      </c>
      <c r="B96" s="47">
        <v>23.07</v>
      </c>
      <c r="C96" s="47">
        <v>214.72</v>
      </c>
      <c r="D96" s="47">
        <v>214.72</v>
      </c>
      <c r="E96" s="47">
        <v>214.72</v>
      </c>
      <c r="F96" s="47">
        <v>214.72</v>
      </c>
      <c r="G96" s="47">
        <v>214.72</v>
      </c>
      <c r="H96" s="47">
        <v>214.72</v>
      </c>
      <c r="I96" s="47">
        <v>214.72</v>
      </c>
      <c r="J96" s="47">
        <v>214.72</v>
      </c>
      <c r="K96" s="47">
        <v>214.72</v>
      </c>
      <c r="L96" s="47">
        <v>214.72</v>
      </c>
      <c r="M96" s="47">
        <v>214.72</v>
      </c>
      <c r="N96" s="47">
        <v>214.72</v>
      </c>
      <c r="O96" s="47">
        <v>214.72</v>
      </c>
      <c r="P96" s="47">
        <v>214.72</v>
      </c>
      <c r="Q96" s="47">
        <v>214.72</v>
      </c>
      <c r="R96" s="47">
        <v>214.72</v>
      </c>
      <c r="S96" s="47">
        <v>214.72</v>
      </c>
      <c r="T96" s="47">
        <v>214.72</v>
      </c>
      <c r="U96" s="47">
        <v>214.72</v>
      </c>
      <c r="V96" s="47">
        <v>406.37</v>
      </c>
      <c r="W96" s="47">
        <v>23.07</v>
      </c>
      <c r="X96" s="47">
        <v>214.72</v>
      </c>
      <c r="Y96" s="47">
        <v>214.72</v>
      </c>
      <c r="Z96" s="47">
        <f>B96+C96+D96+E96+F96+G96+H96+I96+J96+K96+L96+M96+N96+O96+P96+Q96+R96+S96+T96+U96+V96+W96+X96+Y96</f>
        <v>4961.629999999998</v>
      </c>
    </row>
    <row r="97" spans="1:26" ht="16">
      <c r="A97" s="39" t="s">
        <v>94</v>
      </c>
      <c r="B97" s="46"/>
      <c r="C97" s="47">
        <v>10064.86</v>
      </c>
      <c r="D97" s="47">
        <v>10155.62</v>
      </c>
      <c r="E97" s="47">
        <v>9731.0</v>
      </c>
      <c r="F97" s="47">
        <v>10080.0</v>
      </c>
      <c r="G97" s="47">
        <v>10414.83</v>
      </c>
      <c r="H97" s="47">
        <v>10170.62</v>
      </c>
      <c r="I97" s="47">
        <v>12118.17</v>
      </c>
      <c r="J97" s="47">
        <v>13578.79</v>
      </c>
      <c r="K97" s="47">
        <v>17080.09</v>
      </c>
      <c r="L97" s="47">
        <v>13485.99</v>
      </c>
      <c r="M97" s="47">
        <v>13064.77</v>
      </c>
      <c r="N97" s="47">
        <v>14153.55</v>
      </c>
      <c r="O97" s="47">
        <v>14050.3</v>
      </c>
      <c r="P97" s="47">
        <v>13484.8</v>
      </c>
      <c r="Q97" s="47">
        <v>12549.94</v>
      </c>
      <c r="R97" s="47">
        <v>13097.58</v>
      </c>
      <c r="S97" s="47">
        <v>28110.58</v>
      </c>
      <c r="T97" s="47">
        <v>13830.2</v>
      </c>
      <c r="U97" s="47">
        <v>13007.25</v>
      </c>
      <c r="V97" s="47">
        <v>16064.97</v>
      </c>
      <c r="W97" s="47">
        <v>17585.36</v>
      </c>
      <c r="X97" s="47">
        <v>17034.95</v>
      </c>
      <c r="Y97" s="47">
        <v>16264.97</v>
      </c>
      <c r="Z97" s="47">
        <f>B97+C97+D97+E97+F97+G97+H97+I97+J97+K97+L97+M97+N97+O97+P97+Q97+R97+S97+T97+U97+V97+W97+X97+Y97</f>
        <v>319179.18999999994</v>
      </c>
    </row>
    <row r="98" spans="1:26" ht="16">
      <c r="A98" s="39" t="s">
        <v>95</v>
      </c>
      <c r="B98" s="47">
        <v>2482.46</v>
      </c>
      <c r="C98" s="47">
        <v>8416.27</v>
      </c>
      <c r="D98" s="47">
        <v>4429.06</v>
      </c>
      <c r="E98" s="47">
        <v>18723.58</v>
      </c>
      <c r="F98" s="47">
        <v>9505.28</v>
      </c>
      <c r="G98" s="47">
        <v>10618.96</v>
      </c>
      <c r="H98" s="47">
        <v>10818.69</v>
      </c>
      <c r="I98" s="47">
        <v>10870.06</v>
      </c>
      <c r="J98" s="47">
        <v>9625.12</v>
      </c>
      <c r="K98" s="47">
        <v>13048.98</v>
      </c>
      <c r="L98" s="47">
        <v>13179.46</v>
      </c>
      <c r="M98" s="47">
        <v>16166.16</v>
      </c>
      <c r="N98" s="47">
        <v>14097.8</v>
      </c>
      <c r="O98" s="47">
        <v>11870.51</v>
      </c>
      <c r="P98" s="47">
        <v>12429.51</v>
      </c>
      <c r="Q98" s="47">
        <v>14026.81</v>
      </c>
      <c r="R98" s="47">
        <v>15949.97</v>
      </c>
      <c r="S98" s="47">
        <v>15250.68</v>
      </c>
      <c r="T98" s="47">
        <v>15080.34</v>
      </c>
      <c r="U98" s="47">
        <v>14867.13</v>
      </c>
      <c r="V98" s="47">
        <v>16727.92</v>
      </c>
      <c r="W98" s="47">
        <v>15949.23</v>
      </c>
      <c r="X98" s="47">
        <v>16416.88</v>
      </c>
      <c r="Y98" s="47">
        <v>18871.34</v>
      </c>
      <c r="Z98" s="47">
        <f>B98+C98+D98+E98+F98+G98+H98+I98+J98+K98+L98+M98+N98+O98+P98+Q98+R98+S98+T98+U98+V98+W98+X98+Y98</f>
        <v>309422.2</v>
      </c>
    </row>
    <row r="99" spans="1:26" ht="16">
      <c r="A99" s="41" t="s">
        <v>96</v>
      </c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7">
        <v>2120.98</v>
      </c>
      <c r="T99" s="46"/>
      <c r="U99" s="46"/>
      <c r="V99" s="46"/>
      <c r="W99" s="46"/>
      <c r="X99" s="46"/>
      <c r="Y99" s="46"/>
      <c r="Z99" s="47">
        <f>B99+C99+D99+E99+F99+G99+H99+I99+J99+K99+L99+M99+N99+O99+P99+Q99+R99+S99+T99+U99+V99+W99+X99+Y99</f>
        <v>2120.98</v>
      </c>
    </row>
    <row r="100" spans="1:26" ht="16">
      <c r="A100" s="41" t="s">
        <v>97</v>
      </c>
      <c r="B100" s="46"/>
      <c r="C100" s="46"/>
      <c r="D100" s="47">
        <v>500.0</v>
      </c>
      <c r="E100" s="47">
        <v>500.0</v>
      </c>
      <c r="F100" s="47">
        <v>750.0</v>
      </c>
      <c r="G100" s="47">
        <v>1018.63</v>
      </c>
      <c r="H100" s="47">
        <v>500.0</v>
      </c>
      <c r="I100" s="47">
        <v>500.0</v>
      </c>
      <c r="J100" s="47">
        <v>500.0</v>
      </c>
      <c r="K100" s="47">
        <v>1165.49</v>
      </c>
      <c r="L100" s="47">
        <v>500.0</v>
      </c>
      <c r="M100" s="47">
        <v>500.0</v>
      </c>
      <c r="N100" s="47">
        <v>1000.0</v>
      </c>
      <c r="O100" s="47">
        <v>1000.0</v>
      </c>
      <c r="P100" s="47">
        <v>1755.84</v>
      </c>
      <c r="Q100" s="47">
        <v>9638.49</v>
      </c>
      <c r="R100" s="47">
        <v>5881.27</v>
      </c>
      <c r="S100" s="47">
        <v>1000.0</v>
      </c>
      <c r="T100" s="46"/>
      <c r="U100" s="46"/>
      <c r="V100" s="46"/>
      <c r="W100" s="46"/>
      <c r="X100" s="46"/>
      <c r="Y100" s="46"/>
      <c r="Z100" s="47">
        <f>B100+C100+D100+E100+F100+G100+H100+I100+J100+K100+L100+M100+N100+O100+P100+Q100+R100+S100+T100+U100+V100+W100+X100+Y100</f>
        <v>26709.719999999998</v>
      </c>
    </row>
    <row r="101" spans="1:26" ht="16">
      <c r="A101" s="41" t="s">
        <v>98</v>
      </c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7">
        <v>283.77</v>
      </c>
      <c r="V101" s="46"/>
      <c r="W101" s="46"/>
      <c r="X101" s="47">
        <v>55.69</v>
      </c>
      <c r="Y101" s="46"/>
      <c r="Z101" s="47">
        <f>B101+C101+D101+E101+F101+G101+H101+I101+J101+K101+L101+M101+N101+O101+P101+Q101+R101+S101+T101+U101+V101+W101+X101+Y101</f>
        <v>339.46</v>
      </c>
    </row>
    <row r="102" spans="1:26" ht="16">
      <c r="A102" s="41" t="s">
        <v>99</v>
      </c>
      <c r="B102" s="47">
        <v>500.0</v>
      </c>
      <c r="C102" s="47">
        <v>1500.0</v>
      </c>
      <c r="D102" s="47">
        <v>3863.0</v>
      </c>
      <c r="E102" s="47">
        <v>1045.22</v>
      </c>
      <c r="F102" s="47">
        <v>1000.0</v>
      </c>
      <c r="G102" s="47">
        <v>1500.0</v>
      </c>
      <c r="H102" s="47">
        <v>4363.0</v>
      </c>
      <c r="I102" s="47">
        <v>1000.0</v>
      </c>
      <c r="J102" s="47">
        <v>1000.0</v>
      </c>
      <c r="K102" s="47">
        <v>1000.0</v>
      </c>
      <c r="L102" s="47">
        <v>1000.0</v>
      </c>
      <c r="M102" s="47">
        <v>4411.96</v>
      </c>
      <c r="N102" s="47">
        <v>58.52</v>
      </c>
      <c r="O102" s="46"/>
      <c r="P102" s="46"/>
      <c r="Q102" s="46"/>
      <c r="R102" s="47">
        <v>45.03</v>
      </c>
      <c r="S102" s="46"/>
      <c r="T102" s="46"/>
      <c r="U102" s="46"/>
      <c r="V102" s="46"/>
      <c r="W102" s="46"/>
      <c r="X102" s="46"/>
      <c r="Y102" s="46"/>
      <c r="Z102" s="47">
        <f>B102+C102+D102+E102+F102+G102+H102+I102+J102+K102+L102+M102+N102+O102+P102+Q102+R102+S102+T102+U102+V102+W102+X102+Y102</f>
        <v>22286.73</v>
      </c>
    </row>
    <row r="103" spans="1:26" ht="16">
      <c r="A103" s="42" t="s">
        <v>100</v>
      </c>
      <c r="B103" s="48">
        <f>B98+B99+B100+B101+B102</f>
        <v>2982.46</v>
      </c>
      <c r="C103" s="48">
        <f>C98+C99+C100+C101+C102</f>
        <v>9916.27</v>
      </c>
      <c r="D103" s="48">
        <f>D98+D99+D100+D101+D102</f>
        <v>8792.060000000001</v>
      </c>
      <c r="E103" s="48">
        <f>E98+E99+E100+E101+E102</f>
        <v>20268.800000000003</v>
      </c>
      <c r="F103" s="48">
        <f>F98+F99+F100+F101+F102</f>
        <v>11255.28</v>
      </c>
      <c r="G103" s="48">
        <f>G98+G99+G100+G101+G102</f>
        <v>13137.589999999998</v>
      </c>
      <c r="H103" s="48">
        <f>H98+H99+H100+H101+H102</f>
        <v>15681.69</v>
      </c>
      <c r="I103" s="48">
        <f>I98+I99+I100+I101+I102</f>
        <v>12370.06</v>
      </c>
      <c r="J103" s="48">
        <f>J98+J99+J100+J101+J102</f>
        <v>11125.12</v>
      </c>
      <c r="K103" s="48">
        <f>K98+K99+K100+K101+K102</f>
        <v>15214.47</v>
      </c>
      <c r="L103" s="48">
        <f>L98+L99+L100+L101+L102</f>
        <v>14679.46</v>
      </c>
      <c r="M103" s="48">
        <f>M98+M99+M100+M101+M102</f>
        <v>21078.12</v>
      </c>
      <c r="N103" s="48">
        <f>N98+N99+N100+N101+N102</f>
        <v>15156.32</v>
      </c>
      <c r="O103" s="48">
        <f>O98+O99+O100+O101+O102</f>
        <v>12870.51</v>
      </c>
      <c r="P103" s="48">
        <f>P98+P99+P100+P101+P102</f>
        <v>14185.35</v>
      </c>
      <c r="Q103" s="48">
        <f>Q98+Q99+Q100+Q101+Q102</f>
        <v>23665.3</v>
      </c>
      <c r="R103" s="48">
        <f>R98+R99+R100+R101+R102</f>
        <v>21876.269999999997</v>
      </c>
      <c r="S103" s="48">
        <f>S98+S99+S100+S101+S102</f>
        <v>18371.66</v>
      </c>
      <c r="T103" s="48">
        <f>T98+T99+T100+T101+T102</f>
        <v>15080.34</v>
      </c>
      <c r="U103" s="48">
        <f>U98+U99+U100+U101+U102</f>
        <v>15150.9</v>
      </c>
      <c r="V103" s="48">
        <f>V98+V99+V100+V101+V102</f>
        <v>16727.92</v>
      </c>
      <c r="W103" s="48">
        <f>W98+W99+W100+W101+W102</f>
        <v>15949.23</v>
      </c>
      <c r="X103" s="48">
        <f>X98+X99+X100+X101+X102</f>
        <v>16472.57</v>
      </c>
      <c r="Y103" s="48">
        <f>Y98+Y99+Y100+Y101+Y102</f>
        <v>18871.34</v>
      </c>
      <c r="Z103" s="49">
        <f>B103+C103+D103+E103+F103+G103+H103+I103+J103+K103+L103+M103+N103+O103+P103+Q103+R103+S103+T103+U103+V103+W103+X103+Y103</f>
        <v>360879.09</v>
      </c>
    </row>
    <row r="104" spans="1:26" ht="16">
      <c r="A104" s="39" t="s">
        <v>101</v>
      </c>
      <c r="B104" s="47">
        <v>11794.7</v>
      </c>
      <c r="C104" s="47">
        <v>16561.61</v>
      </c>
      <c r="D104" s="47">
        <v>25801.73</v>
      </c>
      <c r="E104" s="47">
        <v>25972.25</v>
      </c>
      <c r="F104" s="47">
        <v>23037.16</v>
      </c>
      <c r="G104" s="47">
        <v>22695.66</v>
      </c>
      <c r="H104" s="47">
        <v>23526.62</v>
      </c>
      <c r="I104" s="47">
        <v>24088.4</v>
      </c>
      <c r="J104" s="47">
        <v>22991.23</v>
      </c>
      <c r="K104" s="47">
        <v>32986.36</v>
      </c>
      <c r="L104" s="47">
        <v>32800.62</v>
      </c>
      <c r="M104" s="47">
        <v>40385.45</v>
      </c>
      <c r="N104" s="47">
        <v>35331.19</v>
      </c>
      <c r="O104" s="47">
        <v>29023.8</v>
      </c>
      <c r="P104" s="47">
        <v>32171.58</v>
      </c>
      <c r="Q104" s="47">
        <v>35487.09</v>
      </c>
      <c r="R104" s="47">
        <v>40274.75</v>
      </c>
      <c r="S104" s="47">
        <v>38343.84</v>
      </c>
      <c r="T104" s="47">
        <v>39025.42</v>
      </c>
      <c r="U104" s="47">
        <v>39828.97</v>
      </c>
      <c r="V104" s="47">
        <v>43590.5</v>
      </c>
      <c r="W104" s="47">
        <v>41186.97</v>
      </c>
      <c r="X104" s="47">
        <v>42537.1</v>
      </c>
      <c r="Y104" s="47">
        <v>51277.77</v>
      </c>
      <c r="Z104" s="47">
        <f>B104+C104+D104+E104+F104+G104+H104+I104+J104+K104+L104+M104+N104+O104+P104+Q104+R104+S104+T104+U104+V104+W104+X104+Y104</f>
        <v>770720.77</v>
      </c>
    </row>
    <row r="105" spans="1:26" ht="16">
      <c r="A105" s="39" t="s">
        <v>102</v>
      </c>
      <c r="B105" s="47">
        <v>1315.99</v>
      </c>
      <c r="C105" s="47">
        <v>14543.49</v>
      </c>
      <c r="D105" s="47">
        <v>14979.61</v>
      </c>
      <c r="E105" s="47">
        <v>14310.07</v>
      </c>
      <c r="F105" s="47">
        <v>15485.18</v>
      </c>
      <c r="G105" s="47">
        <v>14965.98</v>
      </c>
      <c r="H105" s="47">
        <v>14856.04</v>
      </c>
      <c r="I105" s="47">
        <v>14396.69</v>
      </c>
      <c r="J105" s="47">
        <v>11520.86</v>
      </c>
      <c r="K105" s="47">
        <v>11417.61</v>
      </c>
      <c r="L105" s="47">
        <v>11618.95</v>
      </c>
      <c r="M105" s="47">
        <v>12286.66</v>
      </c>
      <c r="N105" s="47">
        <v>11481.81</v>
      </c>
      <c r="O105" s="47">
        <v>11902.07</v>
      </c>
      <c r="P105" s="47">
        <v>12277.33</v>
      </c>
      <c r="Q105" s="47">
        <v>12538.78</v>
      </c>
      <c r="R105" s="47">
        <v>12070.92</v>
      </c>
      <c r="S105" s="47">
        <v>11813.41</v>
      </c>
      <c r="T105" s="47">
        <v>14276.98</v>
      </c>
      <c r="U105" s="47">
        <v>12242.65</v>
      </c>
      <c r="V105" s="47">
        <v>13176.99</v>
      </c>
      <c r="W105" s="47">
        <v>12410.31</v>
      </c>
      <c r="X105" s="47">
        <v>13174.08</v>
      </c>
      <c r="Y105" s="47">
        <v>15136.58</v>
      </c>
      <c r="Z105" s="47">
        <f>B105+C105+D105+E105+F105+G105+H105+I105+J105+K105+L105+M105+N105+O105+P105+Q105+R105+S105+T105+U105+V105+W105+X105+Y105</f>
        <v>304199.0400000001</v>
      </c>
    </row>
    <row r="106" spans="1:26" ht="16">
      <c r="A106" s="40" t="s">
        <v>103</v>
      </c>
      <c r="B106" s="48">
        <f>B94+B95+B96+B97+B103+B104+B105</f>
        <v>16116.220000000001</v>
      </c>
      <c r="C106" s="48">
        <f>C94+C95+C96+C97+C103+C104+C105</f>
        <v>51300.95</v>
      </c>
      <c r="D106" s="48">
        <f>D94+D95+D96+D97+D103+D104+D105</f>
        <v>59943.740000000005</v>
      </c>
      <c r="E106" s="48">
        <f>E94+E95+E96+E97+E103+E104+E105</f>
        <v>72521.08</v>
      </c>
      <c r="F106" s="48">
        <f>F94+F95+F96+F97+F103+F104+F105</f>
        <v>60072.340000000004</v>
      </c>
      <c r="G106" s="48">
        <f>G94+G95+G96+G97+G103+G104+G105</f>
        <v>66883.2</v>
      </c>
      <c r="H106" s="48">
        <f>H94+H95+H96+H97+H103+H104+H105</f>
        <v>68279.0</v>
      </c>
      <c r="I106" s="48">
        <f>I94+I95+I96+I97+I103+I104+I105</f>
        <v>64319.51</v>
      </c>
      <c r="J106" s="48">
        <f>J94+J95+J96+J97+J103+J104+J105</f>
        <v>59430.72</v>
      </c>
      <c r="K106" s="48">
        <f>K94+K95+K96+K97+K103+K104+K105</f>
        <v>78215.56999999999</v>
      </c>
      <c r="L106" s="48">
        <f>L94+L95+L96+L97+L103+L104+L105</f>
        <v>72799.74</v>
      </c>
      <c r="M106" s="48">
        <f>M94+M95+M96+M97+M103+M104+M105</f>
        <v>89026.66</v>
      </c>
      <c r="N106" s="48">
        <f>N94+N95+N96+N97+N103+N104+N105</f>
        <v>79982.36</v>
      </c>
      <c r="O106" s="48">
        <f>O94+O95+O96+O97+O103+O104+O105</f>
        <v>69608.37</v>
      </c>
      <c r="P106" s="48">
        <f>P94+P95+P96+P97+P103+P104+P105</f>
        <v>75304.66</v>
      </c>
      <c r="Q106" s="48">
        <f>Q94+Q95+Q96+Q97+Q103+Q104+Q105</f>
        <v>85916.79999999999</v>
      </c>
      <c r="R106" s="48">
        <f>R94+R95+R96+R97+R103+R104+R105</f>
        <v>87534.23999999999</v>
      </c>
      <c r="S106" s="48">
        <f>S94+S95+S96+S97+S103+S104+S105</f>
        <v>100101.03</v>
      </c>
      <c r="T106" s="48">
        <f>T94+T95+T96+T97+T103+T104+T105</f>
        <v>84062.87</v>
      </c>
      <c r="U106" s="48">
        <f>U94+U95+U96+U97+U103+U104+U105</f>
        <v>82163.12</v>
      </c>
      <c r="V106" s="48">
        <f>V94+V95+V96+V97+V103+V104+V105</f>
        <v>91584.40000000001</v>
      </c>
      <c r="W106" s="48">
        <f>W94+W95+W96+W97+W103+W104+W105</f>
        <v>88768.29</v>
      </c>
      <c r="X106" s="48">
        <f>X94+X95+X96+X97+X103+X104+X105</f>
        <v>89433.42</v>
      </c>
      <c r="Y106" s="48">
        <f>Y94+Y95+Y96+Y97+Y103+Y104+Y105</f>
        <v>103181.55</v>
      </c>
      <c r="Z106" s="49">
        <f>B106+C106+D106+E106+F106+G106+H106+I106+J106+K106+L106+M106+N106+O106+P106+Q106+R106+S106+T106+U106+V106+W106+X106+Y106</f>
        <v>1796549.84</v>
      </c>
    </row>
    <row r="107" spans="1:26" ht="16">
      <c r="A107" s="37" t="s">
        <v>104</v>
      </c>
      <c r="B107" s="47">
        <v>43.3</v>
      </c>
      <c r="C107" s="47">
        <v>423.35</v>
      </c>
      <c r="D107" s="47">
        <v>436.05</v>
      </c>
      <c r="E107" s="47">
        <v>29.33</v>
      </c>
      <c r="F107" s="47">
        <v>11.91</v>
      </c>
      <c r="G107" s="46"/>
      <c r="H107" s="47">
        <v>277.47</v>
      </c>
      <c r="I107" s="46"/>
      <c r="J107" s="47">
        <v>17.23</v>
      </c>
      <c r="K107" s="47">
        <v>30.18</v>
      </c>
      <c r="L107" s="47">
        <v>226.25</v>
      </c>
      <c r="M107" s="47">
        <v>11.91</v>
      </c>
      <c r="N107" s="47">
        <v>688.33</v>
      </c>
      <c r="O107" s="47">
        <v>95.37</v>
      </c>
      <c r="P107" s="47">
        <v>552.66</v>
      </c>
      <c r="Q107" s="47">
        <v>147.81</v>
      </c>
      <c r="R107" s="47">
        <v>653.88</v>
      </c>
      <c r="S107" s="47">
        <v>761.27</v>
      </c>
      <c r="T107" s="47">
        <v>1138.82</v>
      </c>
      <c r="U107" s="46"/>
      <c r="V107" s="47">
        <v>905.85</v>
      </c>
      <c r="W107" s="47">
        <v>718.63</v>
      </c>
      <c r="X107" s="47">
        <v>3010.38</v>
      </c>
      <c r="Y107" s="47">
        <v>472.83</v>
      </c>
      <c r="Z107" s="47">
        <f>B107+C107+D107+E107+F107+G107+H107+I107+J107+K107+L107+M107+N107+O107+P107+Q107+R107+S107+T107+U107+V107+W107+X107+Y107</f>
        <v>10652.81</v>
      </c>
    </row>
    <row r="108" spans="1:26" ht="16">
      <c r="A108" s="37" t="s">
        <v>105</v>
      </c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7">
        <v>12.46</v>
      </c>
      <c r="Z108" s="47">
        <f>B108+C108+D108+E108+F108+G108+H108+I108+J108+K108+L108+M108+N108+O108+P108+Q108+R108+S108+T108+U108+V108+W108+X108+Y108</f>
        <v>12.46</v>
      </c>
    </row>
    <row r="109" spans="1:26" ht="16">
      <c r="A109" s="39" t="s">
        <v>106</v>
      </c>
      <c r="B109" s="46"/>
      <c r="C109" s="46"/>
      <c r="D109" s="47">
        <v>115.7</v>
      </c>
      <c r="E109" s="46"/>
      <c r="F109" s="46"/>
      <c r="G109" s="46"/>
      <c r="H109" s="46"/>
      <c r="I109" s="47">
        <v>894.6</v>
      </c>
      <c r="J109" s="46"/>
      <c r="K109" s="46"/>
      <c r="L109" s="46"/>
      <c r="M109" s="47">
        <v>295.41</v>
      </c>
      <c r="N109" s="46"/>
      <c r="O109" s="47">
        <v>346.38</v>
      </c>
      <c r="P109" s="47">
        <v>320.4</v>
      </c>
      <c r="Q109" s="46"/>
      <c r="R109" s="47">
        <v>1100.92</v>
      </c>
      <c r="S109" s="47">
        <v>2737.34</v>
      </c>
      <c r="T109" s="47">
        <v>786.8</v>
      </c>
      <c r="U109" s="47">
        <v>579.4</v>
      </c>
      <c r="V109" s="46"/>
      <c r="W109" s="46"/>
      <c r="X109" s="46"/>
      <c r="Y109" s="47">
        <v>1059.21</v>
      </c>
      <c r="Z109" s="47">
        <f>B109+C109+D109+E109+F109+G109+H109+I109+J109+K109+L109+M109+N109+O109+P109+Q109+R109+S109+T109+U109+V109+W109+X109+Y109</f>
        <v>8236.16</v>
      </c>
    </row>
    <row r="110" spans="1:26" ht="16">
      <c r="A110" s="39" t="s">
        <v>107</v>
      </c>
      <c r="B110" s="46"/>
      <c r="C110" s="46"/>
      <c r="D110" s="46"/>
      <c r="E110" s="46"/>
      <c r="F110" s="47">
        <v>180.17</v>
      </c>
      <c r="G110" s="46"/>
      <c r="H110" s="46"/>
      <c r="I110" s="47">
        <v>130.64</v>
      </c>
      <c r="J110" s="46"/>
      <c r="K110" s="47">
        <v>471.24</v>
      </c>
      <c r="L110" s="47">
        <v>899.98</v>
      </c>
      <c r="M110" s="47">
        <v>2011.48</v>
      </c>
      <c r="N110" s="47">
        <v>263.2</v>
      </c>
      <c r="O110" s="46"/>
      <c r="P110" s="46"/>
      <c r="Q110" s="46"/>
      <c r="R110" s="47">
        <v>1473.42</v>
      </c>
      <c r="S110" s="47">
        <v>1356.6</v>
      </c>
      <c r="T110" s="46"/>
      <c r="U110" s="47">
        <v>328.44</v>
      </c>
      <c r="V110" s="46"/>
      <c r="W110" s="47">
        <v>1812.52</v>
      </c>
      <c r="X110" s="46"/>
      <c r="Y110" s="47">
        <v>117.87</v>
      </c>
      <c r="Z110" s="47">
        <f>B110+C110+D110+E110+F110+G110+H110+I110+J110+K110+L110+M110+N110+O110+P110+Q110+R110+S110+T110+U110+V110+W110+X110+Y110</f>
        <v>9045.56</v>
      </c>
    </row>
    <row r="111" spans="1:26" ht="16">
      <c r="A111" s="39" t="s">
        <v>108</v>
      </c>
      <c r="B111" s="46"/>
      <c r="C111" s="47">
        <v>53.64</v>
      </c>
      <c r="D111" s="47">
        <v>263.54</v>
      </c>
      <c r="E111" s="47">
        <v>50.43</v>
      </c>
      <c r="F111" s="47">
        <v>95.09</v>
      </c>
      <c r="G111" s="47">
        <v>23.63</v>
      </c>
      <c r="H111" s="47">
        <v>24.78</v>
      </c>
      <c r="I111" s="47">
        <v>113.83</v>
      </c>
      <c r="J111" s="46"/>
      <c r="K111" s="47">
        <v>67.03</v>
      </c>
      <c r="L111" s="47">
        <v>16.88</v>
      </c>
      <c r="M111" s="47">
        <v>59.82</v>
      </c>
      <c r="N111" s="47">
        <v>104.1</v>
      </c>
      <c r="O111" s="47">
        <v>47.91</v>
      </c>
      <c r="P111" s="47">
        <v>151.62</v>
      </c>
      <c r="Q111" s="47">
        <v>127.12</v>
      </c>
      <c r="R111" s="47">
        <v>437.41</v>
      </c>
      <c r="S111" s="46"/>
      <c r="T111" s="47">
        <v>28.95</v>
      </c>
      <c r="U111" s="47">
        <v>103.92</v>
      </c>
      <c r="V111" s="47">
        <v>67.97</v>
      </c>
      <c r="W111" s="47">
        <v>32.75</v>
      </c>
      <c r="X111" s="47">
        <v>81.98</v>
      </c>
      <c r="Y111" s="47">
        <v>47.58</v>
      </c>
      <c r="Z111" s="47">
        <f>B111+C111+D111+E111+F111+G111+H111+I111+J111+K111+L111+M111+N111+O111+P111+Q111+R111+S111+T111+U111+V111+W111+X111+Y111</f>
        <v>1999.9800000000002</v>
      </c>
    </row>
    <row r="112" spans="1:26" ht="16">
      <c r="A112" s="40" t="s">
        <v>109</v>
      </c>
      <c r="B112" s="49">
        <f>B108+B109+B110+B111</f>
        <v>0.0</v>
      </c>
      <c r="C112" s="48">
        <f>C108+C109+C110+C111</f>
        <v>53.64</v>
      </c>
      <c r="D112" s="48">
        <f>D108+D109+D110+D111</f>
        <v>379.24</v>
      </c>
      <c r="E112" s="48">
        <f>E108+E109+E110+E111</f>
        <v>50.43</v>
      </c>
      <c r="F112" s="48">
        <f>F108+F109+F110+F111</f>
        <v>275.26</v>
      </c>
      <c r="G112" s="48">
        <f>G108+G109+G110+G111</f>
        <v>23.63</v>
      </c>
      <c r="H112" s="48">
        <f>H108+H109+H110+H111</f>
        <v>24.78</v>
      </c>
      <c r="I112" s="48">
        <f>I108+I109+I110+I111</f>
        <v>1139.07</v>
      </c>
      <c r="J112" s="49">
        <f>J108+J109+J110+J111</f>
        <v>0.0</v>
      </c>
      <c r="K112" s="48">
        <f>K108+K109+K110+K111</f>
        <v>538.27</v>
      </c>
      <c r="L112" s="48">
        <f>L108+L109+L110+L111</f>
        <v>916.86</v>
      </c>
      <c r="M112" s="48">
        <f>M108+M109+M110+M111</f>
        <v>2366.71</v>
      </c>
      <c r="N112" s="48">
        <f>N108+N109+N110+N111</f>
        <v>367.29999999999995</v>
      </c>
      <c r="O112" s="48">
        <f>O108+O109+O110+O111</f>
        <v>394.28999999999996</v>
      </c>
      <c r="P112" s="48">
        <f>P108+P109+P110+P111</f>
        <v>472.02</v>
      </c>
      <c r="Q112" s="48">
        <f>Q108+Q109+Q110+Q111</f>
        <v>127.12</v>
      </c>
      <c r="R112" s="48">
        <f>R108+R109+R110+R111</f>
        <v>3011.75</v>
      </c>
      <c r="S112" s="48">
        <f>S108+S109+S110+S111</f>
        <v>4093.94</v>
      </c>
      <c r="T112" s="48">
        <f>T108+T109+T110+T111</f>
        <v>815.75</v>
      </c>
      <c r="U112" s="48">
        <f>U108+U109+U110+U111</f>
        <v>1011.7599999999999</v>
      </c>
      <c r="V112" s="48">
        <f>V108+V109+V110+V111</f>
        <v>67.97</v>
      </c>
      <c r="W112" s="48">
        <f>W108+W109+W110+W111</f>
        <v>1845.27</v>
      </c>
      <c r="X112" s="48">
        <f>X108+X109+X110+X111</f>
        <v>81.98</v>
      </c>
      <c r="Y112" s="48">
        <f>Y108+Y109+Y110+Y111</f>
        <v>1237.12</v>
      </c>
      <c r="Z112" s="49">
        <f>B112+C112+D112+E112+F112+G112+H112+I112+J112+K112+L112+M112+N112+O112+P112+Q112+R112+S112+T112+U112+V112+W112+X112+Y112</f>
        <v>19294.159999999996</v>
      </c>
    </row>
    <row r="113" spans="1:26" ht="16">
      <c r="A113" s="37" t="s">
        <v>110</v>
      </c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6">
      <c r="A114" s="39" t="s">
        <v>111</v>
      </c>
      <c r="B114" s="47">
        <v>2025.08</v>
      </c>
      <c r="C114" s="47">
        <v>8153.95</v>
      </c>
      <c r="D114" s="47">
        <v>12349.65</v>
      </c>
      <c r="E114" s="47">
        <v>19001.74</v>
      </c>
      <c r="F114" s="47">
        <v>13239.22</v>
      </c>
      <c r="G114" s="47">
        <v>11446.36</v>
      </c>
      <c r="H114" s="47">
        <v>9615.66</v>
      </c>
      <c r="I114" s="47">
        <v>10403.05</v>
      </c>
      <c r="J114" s="47">
        <v>17824.86</v>
      </c>
      <c r="K114" s="47">
        <v>15560.81</v>
      </c>
      <c r="L114" s="47">
        <v>26696.6</v>
      </c>
      <c r="M114" s="47">
        <v>32604.14</v>
      </c>
      <c r="N114" s="47">
        <v>27954.24</v>
      </c>
      <c r="O114" s="47">
        <v>30154.55</v>
      </c>
      <c r="P114" s="47">
        <v>35443.37</v>
      </c>
      <c r="Q114" s="47">
        <v>29848.48</v>
      </c>
      <c r="R114" s="47">
        <v>34254.82</v>
      </c>
      <c r="S114" s="47">
        <v>33886.32</v>
      </c>
      <c r="T114" s="47">
        <v>27624.13</v>
      </c>
      <c r="U114" s="47">
        <v>32703.32</v>
      </c>
      <c r="V114" s="47">
        <v>37153.46</v>
      </c>
      <c r="W114" s="47">
        <v>30641.42</v>
      </c>
      <c r="X114" s="47">
        <v>29363.56</v>
      </c>
      <c r="Y114" s="47">
        <v>33989.24</v>
      </c>
      <c r="Z114" s="47">
        <f>B114+C114+D114+E114+F114+G114+H114+I114+J114+K114+L114+M114+N114+O114+P114+Q114+R114+S114+T114+U114+V114+W114+X114+Y114</f>
        <v>561938.03</v>
      </c>
    </row>
    <row r="115" spans="1:26" ht="16">
      <c r="A115" s="39" t="s">
        <v>112</v>
      </c>
      <c r="B115" s="47">
        <v>6375.0</v>
      </c>
      <c r="C115" s="47">
        <v>6375.0</v>
      </c>
      <c r="D115" s="47">
        <v>6375.0</v>
      </c>
      <c r="E115" s="47">
        <v>6375.0</v>
      </c>
      <c r="F115" s="46"/>
      <c r="G115" s="47">
        <v>6375.0</v>
      </c>
      <c r="H115" s="47">
        <v>6375.0</v>
      </c>
      <c r="I115" s="47">
        <v>6375.0</v>
      </c>
      <c r="J115" s="47">
        <v>6375.0</v>
      </c>
      <c r="K115" s="47">
        <v>6375.0</v>
      </c>
      <c r="L115" s="47">
        <v>6842.44</v>
      </c>
      <c r="M115" s="47">
        <v>6375.0</v>
      </c>
      <c r="N115" s="47">
        <v>6375.0</v>
      </c>
      <c r="O115" s="47">
        <v>7236.0</v>
      </c>
      <c r="P115" s="47">
        <v>18641.8</v>
      </c>
      <c r="Q115" s="46"/>
      <c r="R115" s="47">
        <v>2291.04</v>
      </c>
      <c r="S115" s="46"/>
      <c r="T115" s="47">
        <v>23488.17</v>
      </c>
      <c r="U115" s="46"/>
      <c r="V115" s="46"/>
      <c r="W115" s="47">
        <v>19054.42</v>
      </c>
      <c r="X115" s="47">
        <v>920.29</v>
      </c>
      <c r="Y115" s="46"/>
      <c r="Z115" s="47">
        <f>B115+C115+D115+E115+F115+G115+H115+I115+J115+K115+L115+M115+N115+O115+P115+Q115+R115+S115+T115+U115+V115+W115+X115+Y115</f>
        <v>148599.16</v>
      </c>
    </row>
    <row r="116" spans="1:26" ht="16">
      <c r="A116" s="39" t="s">
        <v>113</v>
      </c>
      <c r="B116" s="46"/>
      <c r="C116" s="47">
        <v>3100.0</v>
      </c>
      <c r="D116" s="47">
        <v>368.48</v>
      </c>
      <c r="E116" s="46"/>
      <c r="F116" s="46"/>
      <c r="G116" s="46"/>
      <c r="H116" s="47">
        <v>3205.95</v>
      </c>
      <c r="I116" s="47">
        <v>368.48</v>
      </c>
      <c r="J116" s="46"/>
      <c r="K116" s="46"/>
      <c r="L116" s="47">
        <v>3100.0</v>
      </c>
      <c r="M116" s="47">
        <v>270.94</v>
      </c>
      <c r="N116" s="46"/>
      <c r="O116" s="47">
        <v>308.5</v>
      </c>
      <c r="P116" s="47">
        <v>3100.0</v>
      </c>
      <c r="Q116" s="47">
        <v>1104.55</v>
      </c>
      <c r="R116" s="47">
        <v>991.78</v>
      </c>
      <c r="S116" s="47">
        <v>10775.0</v>
      </c>
      <c r="T116" s="47">
        <v>3875.0</v>
      </c>
      <c r="U116" s="47">
        <v>270.94</v>
      </c>
      <c r="V116" s="46"/>
      <c r="W116" s="47">
        <v>8550.0</v>
      </c>
      <c r="X116" s="47">
        <v>3358.0</v>
      </c>
      <c r="Y116" s="47">
        <v>25.0</v>
      </c>
      <c r="Z116" s="47">
        <f>B116+C116+D116+E116+F116+G116+H116+I116+J116+K116+L116+M116+N116+O116+P116+Q116+R116+S116+T116+U116+V116+W116+X116+Y116</f>
        <v>42772.619999999995</v>
      </c>
    </row>
    <row r="117" spans="1:26" ht="16">
      <c r="A117" s="39" t="s">
        <v>114</v>
      </c>
      <c r="B117" s="46"/>
      <c r="C117" s="46"/>
      <c r="D117" s="46"/>
      <c r="E117" s="46"/>
      <c r="F117" s="46"/>
      <c r="G117" s="46"/>
      <c r="H117" s="46"/>
      <c r="I117" s="47">
        <v>3734.48</v>
      </c>
      <c r="J117" s="46"/>
      <c r="K117" s="47">
        <v>405.23</v>
      </c>
      <c r="L117" s="46"/>
      <c r="M117" s="46"/>
      <c r="N117" s="46"/>
      <c r="O117" s="46"/>
      <c r="P117" s="47">
        <v>452.18</v>
      </c>
      <c r="Q117" s="46"/>
      <c r="R117" s="47">
        <v>-750.0</v>
      </c>
      <c r="S117" s="46"/>
      <c r="T117" s="46"/>
      <c r="U117" s="47">
        <v>568.15</v>
      </c>
      <c r="V117" s="46"/>
      <c r="W117" s="46"/>
      <c r="X117" s="46"/>
      <c r="Y117" s="46"/>
      <c r="Z117" s="47">
        <f>B117+C117+D117+E117+F117+G117+H117+I117+J117+K117+L117+M117+N117+O117+P117+Q117+R117+S117+T117+U117+V117+W117+X117+Y117</f>
        <v>4410.04</v>
      </c>
    </row>
    <row r="118" spans="1:26" ht="16">
      <c r="A118" s="39" t="s">
        <v>115</v>
      </c>
      <c r="B118" s="46"/>
      <c r="C118" s="47">
        <v>2520.0</v>
      </c>
      <c r="D118" s="47">
        <v>876.73</v>
      </c>
      <c r="E118" s="47">
        <v>4222.31</v>
      </c>
      <c r="F118" s="46"/>
      <c r="G118" s="47">
        <v>8520.0</v>
      </c>
      <c r="H118" s="47">
        <v>6000.0</v>
      </c>
      <c r="I118" s="47">
        <v>15534.56</v>
      </c>
      <c r="J118" s="46"/>
      <c r="K118" s="47">
        <v>12030.32</v>
      </c>
      <c r="L118" s="47">
        <v>1402.12</v>
      </c>
      <c r="M118" s="47">
        <v>17551.63</v>
      </c>
      <c r="N118" s="47">
        <v>2171.98</v>
      </c>
      <c r="O118" s="47">
        <v>5029.93</v>
      </c>
      <c r="P118" s="46"/>
      <c r="Q118" s="47">
        <v>5643.86</v>
      </c>
      <c r="R118" s="47">
        <v>12330.55</v>
      </c>
      <c r="S118" s="47">
        <v>16651.04</v>
      </c>
      <c r="T118" s="47">
        <v>6081.36</v>
      </c>
      <c r="U118" s="47">
        <v>22553.49</v>
      </c>
      <c r="V118" s="47">
        <v>13482.75</v>
      </c>
      <c r="W118" s="47">
        <v>8367.4</v>
      </c>
      <c r="X118" s="47">
        <v>10270.0</v>
      </c>
      <c r="Y118" s="47">
        <v>9596.98</v>
      </c>
      <c r="Z118" s="47">
        <f>B118+C118+D118+E118+F118+G118+H118+I118+J118+K118+L118+M118+N118+O118+P118+Q118+R118+S118+T118+U118+V118+W118+X118+Y118</f>
        <v>180837.01</v>
      </c>
    </row>
    <row r="119" spans="1:26" ht="16">
      <c r="A119" s="39" t="s">
        <v>116</v>
      </c>
      <c r="B119" s="46"/>
      <c r="C119" s="46"/>
      <c r="D119" s="46"/>
      <c r="E119" s="47">
        <v>387.0</v>
      </c>
      <c r="F119" s="46"/>
      <c r="G119" s="51">
        <v>0</v>
      </c>
      <c r="H119" s="47">
        <v>1399.91</v>
      </c>
      <c r="I119" s="47">
        <v>917.0</v>
      </c>
      <c r="J119" s="47">
        <v>490.9</v>
      </c>
      <c r="K119" s="47">
        <v>179.74</v>
      </c>
      <c r="L119" s="47">
        <v>674.26</v>
      </c>
      <c r="M119" s="46"/>
      <c r="N119" s="46"/>
      <c r="O119" s="46"/>
      <c r="P119" s="46"/>
      <c r="Q119" s="46"/>
      <c r="R119" s="46"/>
      <c r="S119" s="47">
        <v>800.0</v>
      </c>
      <c r="T119" s="46"/>
      <c r="U119" s="47">
        <v>1009.56</v>
      </c>
      <c r="V119" s="46"/>
      <c r="W119" s="46"/>
      <c r="X119" s="46"/>
      <c r="Y119" s="46"/>
      <c r="Z119" s="47">
        <f>B119+C119+D119+E119+F119+G119+H119+I119+J119+K119+L119+M119+N119+O119+P119+Q119+R119+S119+T119+U119+V119+W119+X119+Y119</f>
        <v>5858.370000000001</v>
      </c>
    </row>
    <row r="120" spans="1:26" ht="16">
      <c r="A120" s="39" t="s">
        <v>117</v>
      </c>
      <c r="B120" s="46"/>
      <c r="C120" s="47">
        <v>7585.26</v>
      </c>
      <c r="D120" s="47">
        <v>17985.0</v>
      </c>
      <c r="E120" s="46"/>
      <c r="F120" s="47">
        <v>24113.72</v>
      </c>
      <c r="G120" s="47">
        <v>3493.26</v>
      </c>
      <c r="H120" s="47">
        <v>15213.94</v>
      </c>
      <c r="I120" s="47">
        <v>44171.92</v>
      </c>
      <c r="J120" s="47">
        <v>1544.93</v>
      </c>
      <c r="K120" s="46"/>
      <c r="L120" s="47">
        <v>9386.35</v>
      </c>
      <c r="M120" s="47">
        <v>9425.32</v>
      </c>
      <c r="N120" s="47">
        <v>44671.55</v>
      </c>
      <c r="O120" s="46"/>
      <c r="P120" s="47">
        <v>7957.68</v>
      </c>
      <c r="Q120" s="47">
        <v>4709.5</v>
      </c>
      <c r="R120" s="47">
        <v>10162.22</v>
      </c>
      <c r="S120" s="47">
        <v>46846.45</v>
      </c>
      <c r="T120" s="47">
        <v>22431.28</v>
      </c>
      <c r="U120" s="46"/>
      <c r="V120" s="47">
        <v>10591.86</v>
      </c>
      <c r="W120" s="47">
        <v>83676.13</v>
      </c>
      <c r="X120" s="47">
        <v>20000.0</v>
      </c>
      <c r="Y120" s="47">
        <v>10347.21</v>
      </c>
      <c r="Z120" s="47">
        <f>B120+C120+D120+E120+F120+G120+H120+I120+J120+K120+L120+M120+N120+O120+P120+Q120+R120+S120+T120+U120+V120+W120+X120+Y120</f>
        <v>394313.58</v>
      </c>
    </row>
    <row r="121" spans="1:26" ht="16">
      <c r="A121" s="39" t="s">
        <v>118</v>
      </c>
      <c r="B121" s="47">
        <v>1772.85</v>
      </c>
      <c r="C121" s="46"/>
      <c r="D121" s="46"/>
      <c r="E121" s="46"/>
      <c r="F121" s="47">
        <v>774.93</v>
      </c>
      <c r="G121" s="46"/>
      <c r="H121" s="46"/>
      <c r="I121" s="46"/>
      <c r="J121" s="47">
        <v>1361.73</v>
      </c>
      <c r="K121" s="47">
        <v>1354.59</v>
      </c>
      <c r="L121" s="46"/>
      <c r="M121" s="46"/>
      <c r="N121" s="46"/>
      <c r="O121" s="47">
        <v>1188.16</v>
      </c>
      <c r="P121" s="46"/>
      <c r="Q121" s="46"/>
      <c r="R121" s="46"/>
      <c r="S121" s="47">
        <v>1471.3</v>
      </c>
      <c r="T121" s="46"/>
      <c r="U121" s="46"/>
      <c r="V121" s="46"/>
      <c r="W121" s="46"/>
      <c r="X121" s="47">
        <v>1142.16</v>
      </c>
      <c r="Y121" s="46"/>
      <c r="Z121" s="47">
        <f>B121+C121+D121+E121+F121+G121+H121+I121+J121+K121+L121+M121+N121+O121+P121+Q121+R121+S121+T121+U121+V121+W121+X121+Y121</f>
        <v>9065.72</v>
      </c>
    </row>
    <row r="122" spans="1:26" ht="16">
      <c r="A122" s="40" t="s">
        <v>119</v>
      </c>
      <c r="B122" s="48">
        <f>B113+B114+B115+B116+B117+B118+B119+B120+B121</f>
        <v>10172.93</v>
      </c>
      <c r="C122" s="48">
        <f>C113+C114+C115+C116+C117+C118+C119+C120+C121</f>
        <v>27734.21</v>
      </c>
      <c r="D122" s="48">
        <f>D113+D114+D115+D116+D117+D118+D119+D120+D121</f>
        <v>37954.86</v>
      </c>
      <c r="E122" s="48">
        <f>E113+E114+E115+E116+E117+E118+E119+E120+E121</f>
        <v>29986.050000000003</v>
      </c>
      <c r="F122" s="48">
        <f>F113+F114+F115+F116+F117+F118+F119+F120+F121</f>
        <v>38127.87</v>
      </c>
      <c r="G122" s="48">
        <f>G113+G114+G115+G116+G117+G118+G119+G120+G121</f>
        <v>29834.620000000003</v>
      </c>
      <c r="H122" s="48">
        <f>H113+H114+H115+H116+H117+H118+H119+H120+H121</f>
        <v>41810.46</v>
      </c>
      <c r="I122" s="48">
        <f>I113+I114+I115+I116+I117+I118+I119+I120+I121</f>
        <v>81504.48999999999</v>
      </c>
      <c r="J122" s="48">
        <f>J113+J114+J115+J116+J117+J118+J119+J120+J121</f>
        <v>27597.420000000002</v>
      </c>
      <c r="K122" s="48">
        <f>K113+K114+K115+K116+K117+K118+K119+K120+K121</f>
        <v>35905.689999999995</v>
      </c>
      <c r="L122" s="48">
        <f>L113+L114+L115+L116+L117+L118+L119+L120+L121</f>
        <v>48101.770000000004</v>
      </c>
      <c r="M122" s="48">
        <f>M113+M114+M115+M116+M117+M118+M119+M120+M121</f>
        <v>66227.03</v>
      </c>
      <c r="N122" s="48">
        <f>N113+N114+N115+N116+N117+N118+N119+N120+N121</f>
        <v>81172.77000000002</v>
      </c>
      <c r="O122" s="48">
        <f>O113+O114+O115+O116+O117+O118+O119+O120+O121</f>
        <v>43917.14000000001</v>
      </c>
      <c r="P122" s="48">
        <f>P113+P114+P115+P116+P117+P118+P119+P120+P121</f>
        <v>65595.03</v>
      </c>
      <c r="Q122" s="48">
        <f>Q113+Q114+Q115+Q116+Q117+Q118+Q119+Q120+Q121</f>
        <v>41306.39</v>
      </c>
      <c r="R122" s="48">
        <f>R113+R114+R115+R116+R117+R118+R119+R120+R121</f>
        <v>59280.41</v>
      </c>
      <c r="S122" s="48">
        <f>S113+S114+S115+S116+S117+S118+S119+S120+S121</f>
        <v>110430.11</v>
      </c>
      <c r="T122" s="48">
        <f>T113+T114+T115+T116+T117+T118+T119+T120+T121</f>
        <v>83499.94</v>
      </c>
      <c r="U122" s="48">
        <f>U113+U114+U115+U116+U117+U118+U119+U120+U121</f>
        <v>57105.46000000001</v>
      </c>
      <c r="V122" s="48">
        <f>V113+V114+V115+V116+V117+V118+V119+V120+V121</f>
        <v>61228.07</v>
      </c>
      <c r="W122" s="48">
        <f>W113+W114+W115+W116+W117+W118+W119+W120+W121</f>
        <v>150289.37</v>
      </c>
      <c r="X122" s="48">
        <f>X113+X114+X115+X116+X117+X118+X119+X120+X121</f>
        <v>65054.01000000001</v>
      </c>
      <c r="Y122" s="48">
        <f>Y113+Y114+Y115+Y116+Y117+Y118+Y119+Y120+Y121</f>
        <v>53958.43</v>
      </c>
      <c r="Z122" s="49">
        <f>B122+C122+D122+E122+F122+G122+H122+I122+J122+K122+L122+M122+N122+O122+P122+Q122+R122+S122+T122+U122+V122+W122+X122+Y122</f>
        <v>1347794.5300000003</v>
      </c>
    </row>
    <row r="123" spans="1:26" ht="16">
      <c r="A123" s="37" t="s">
        <v>120</v>
      </c>
      <c r="B123" s="46"/>
      <c r="C123" s="47">
        <v>27.59</v>
      </c>
      <c r="D123" s="47">
        <v>2006.67</v>
      </c>
      <c r="E123" s="47">
        <v>3188.31</v>
      </c>
      <c r="F123" s="47">
        <v>2737.39</v>
      </c>
      <c r="G123" s="47">
        <v>362.73</v>
      </c>
      <c r="H123" s="47">
        <v>62.95</v>
      </c>
      <c r="I123" s="47">
        <v>2198.03</v>
      </c>
      <c r="J123" s="47">
        <v>366.94</v>
      </c>
      <c r="K123" s="46"/>
      <c r="L123" s="47">
        <v>213.94</v>
      </c>
      <c r="M123" s="47">
        <v>2261.64</v>
      </c>
      <c r="N123" s="47">
        <v>354.69</v>
      </c>
      <c r="O123" s="46"/>
      <c r="P123" s="47">
        <v>158.14</v>
      </c>
      <c r="Q123" s="47">
        <v>1713.84</v>
      </c>
      <c r="R123" s="47">
        <v>2788.25</v>
      </c>
      <c r="S123" s="47">
        <v>107.83</v>
      </c>
      <c r="T123" s="47">
        <v>38.97</v>
      </c>
      <c r="U123" s="47">
        <v>15.16</v>
      </c>
      <c r="V123" s="47">
        <v>2668.07</v>
      </c>
      <c r="W123" s="46"/>
      <c r="X123" s="47">
        <v>221.13</v>
      </c>
      <c r="Y123" s="46"/>
      <c r="Z123" s="47">
        <f>B123+C123+D123+E123+F123+G123+H123+I123+J123+K123+L123+M123+N123+O123+P123+Q123+R123+S123+T123+U123+V123+W123+X123+Y123</f>
        <v>21492.270000000004</v>
      </c>
    </row>
    <row r="124" spans="1:26" ht="16">
      <c r="A124" s="37" t="s">
        <v>121</v>
      </c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7">
        <v>1395.37</v>
      </c>
      <c r="R124" s="46"/>
      <c r="S124" s="46"/>
      <c r="T124" s="46"/>
      <c r="U124" s="46"/>
      <c r="V124" s="46"/>
      <c r="W124" s="46"/>
      <c r="X124" s="46"/>
      <c r="Y124" s="47">
        <v>4730.0</v>
      </c>
      <c r="Z124" s="47">
        <f>B124+C124+D124+E124+F124+G124+H124+I124+J124+K124+L124+M124+N124+O124+P124+Q124+R124+S124+T124+U124+V124+W124+X124+Y124</f>
        <v>6125.37</v>
      </c>
    </row>
    <row r="125" spans="1:26" ht="16">
      <c r="A125" s="38" t="s">
        <v>122</v>
      </c>
      <c r="B125" s="48">
        <f>B18+B19+B20+B30+B35+B36+B37+B54+B55+B56+B57+B58+B61+B62+B63+B64+B65+B66+B75+B76+B82+B83+B84+B89+B90+B91+B92+B93+B106+B107+B112+B122+B123+B124</f>
        <v>32935.14</v>
      </c>
      <c r="C125" s="48">
        <f>C18+C19+C20+C30+C35+C36+C37+C54+C55+C56+C57+C58+C61+C62+C63+C64+C65+C66+C75+C76+C82+C83+C84+C89+C90+C91+C92+C93+C106+C107+C112+C122+C123+C124</f>
        <v>156393.27</v>
      </c>
      <c r="D125" s="48">
        <f>D18+D19+D20+D30+D35+D36+D37+D54+D55+D56+D57+D58+D61+D62+D63+D64+D65+D66+D75+D76+D82+D83+D84+D89+D90+D91+D92+D93+D106+D107+D112+D122+D123+D124</f>
        <v>119300.99</v>
      </c>
      <c r="E125" s="48">
        <f>E18+E19+E20+E30+E35+E36+E37+E54+E55+E56+E57+E58+E61+E62+E63+E64+E65+E66+E75+E76+E82+E83+E84+E89+E90+E91+E92+E93+E106+E107+E112+E122+E123+E124</f>
        <v>140972.85</v>
      </c>
      <c r="F125" s="48">
        <f>F18+F19+F20+F30+F35+F36+F37+F54+F55+F56+F57+F58+F61+F62+F63+F64+F65+F66+F75+F76+F82+F83+F84+F89+F90+F91+F92+F93+F106+F107+F112+F122+F123+F124</f>
        <v>150191.95</v>
      </c>
      <c r="G125" s="48">
        <f>G18+G19+G20+G30+G35+G36+G37+G54+G55+G56+G57+G58+G61+G62+G63+G64+G65+G66+G75+G76+G82+G83+G84+G89+G90+G91+G92+G93+G106+G107+G112+G122+G123+G124</f>
        <v>143808.34000000003</v>
      </c>
      <c r="H125" s="48">
        <f>H18+H19+H20+H30+H35+H36+H37+H54+H55+H56+H57+H58+H61+H62+H63+H64+H65+H66+H75+H76+H82+H83+H84+H89+H90+H91+H92+H93+H106+H107+H112+H122+H123+H124</f>
        <v>179311.48</v>
      </c>
      <c r="I125" s="48">
        <f>I18+I19+I20+I30+I35+I36+I37+I54+I55+I56+I57+I58+I61+I62+I63+I64+I65+I66+I75+I76+I82+I83+I84+I89+I90+I91+I92+I93+I106+I107+I112+I122+I123+I124</f>
        <v>195887.12</v>
      </c>
      <c r="J125" s="48">
        <f>J18+J19+J20+J30+J35+J36+J37+J54+J55+J56+J57+J58+J61+J62+J63+J64+J65+J66+J75+J76+J82+J83+J84+J89+J90+J91+J92+J93+J106+J107+J112+J122+J123+J124</f>
        <v>131495.7</v>
      </c>
      <c r="K125" s="48">
        <f>K18+K19+K20+K30+K35+K36+K37+K54+K55+K56+K57+K58+K61+K62+K63+K64+K65+K66+K75+K76+K82+K83+K84+K89+K90+K91+K92+K93+K106+K107+K112+K122+K123+K124</f>
        <v>150511.52</v>
      </c>
      <c r="L125" s="48">
        <f>L18+L19+L20+L30+L35+L36+L37+L54+L55+L56+L57+L58+L61+L62+L63+L64+L65+L66+L75+L76+L82+L83+L84+L89+L90+L91+L92+L93+L106+L107+L112+L122+L123+L124</f>
        <v>160826.81</v>
      </c>
      <c r="M125" s="48">
        <f>M18+M19+M20+M30+M35+M36+M37+M54+M55+M56+M57+M58+M61+M62+M63+M64+M65+M66+M75+M76+M82+M83+M84+M89+M90+M91+M92+M93+M106+M107+M112+M122+M123+M124</f>
        <v>202998.49000000002</v>
      </c>
      <c r="N125" s="48">
        <f>N18+N19+N20+N30+N35+N36+N37+N54+N55+N56+N57+N58+N61+N62+N63+N64+N65+N66+N75+N76+N82+N83+N84+N89+N90+N91+N92+N93+N106+N107+N112+N122+N123+N124</f>
        <v>225791.11000000002</v>
      </c>
      <c r="O125" s="48">
        <f>O18+O19+O20+O30+O35+O36+O37+O54+O55+O56+O57+O58+O61+O62+O63+O64+O65+O66+O75+O76+O82+O83+O84+O89+O90+O91+O92+O93+O106+O107+O112+O122+O123+O124</f>
        <v>164932.99</v>
      </c>
      <c r="P125" s="48">
        <f>P18+P19+P20+P30+P35+P36+P37+P54+P55+P56+P57+P58+P61+P62+P63+P64+P65+P66+P75+P76+P82+P83+P84+P89+P90+P91+P92+P93+P106+P107+P112+P122+P123+P124</f>
        <v>215942.66</v>
      </c>
      <c r="Q125" s="48">
        <f>Q18+Q19+Q20+Q30+Q35+Q36+Q37+Q54+Q55+Q56+Q57+Q58+Q61+Q62+Q63+Q64+Q65+Q66+Q75+Q76+Q82+Q83+Q84+Q89+Q90+Q91+Q92+Q93+Q106+Q107+Q112+Q122+Q123+Q124</f>
        <v>193918.56999999998</v>
      </c>
      <c r="R125" s="48">
        <f>R18+R19+R20+R30+R35+R36+R37+R54+R55+R56+R57+R58+R61+R62+R63+R64+R65+R66+R75+R76+R82+R83+R84+R89+R90+R91+R92+R93+R106+R107+R112+R122+R123+R124</f>
        <v>211934.46</v>
      </c>
      <c r="S125" s="48">
        <f>S18+S19+S20+S30+S35+S36+S37+S54+S55+S56+S57+S58+S61+S62+S63+S64+S65+S66+S75+S76+S82+S83+S84+S89+S90+S91+S92+S93+S106+S107+S112+S122+S123+S124</f>
        <v>295913.60000000003</v>
      </c>
      <c r="T125" s="48">
        <f>T18+T19+T20+T30+T35+T36+T37+T54+T55+T56+T57+T58+T61+T62+T63+T64+T65+T66+T75+T76+T82+T83+T84+T89+T90+T91+T92+T93+T106+T107+T112+T122+T123+T124</f>
        <v>218747.14</v>
      </c>
      <c r="U125" s="48">
        <f>U18+U19+U20+U30+U35+U36+U37+U54+U55+U56+U57+U58+U61+U62+U63+U64+U65+U66+U75+U76+U82+U83+U84+U89+U90+U91+U92+U93+U106+U107+U112+U122+U123+U124</f>
        <v>212924.46000000005</v>
      </c>
      <c r="V125" s="48">
        <f>V18+V19+V20+V30+V35+V36+V37+V54+V55+V56+V57+V58+V61+V62+V63+V64+V65+V66+V75+V76+V82+V83+V84+V89+V90+V91+V92+V93+V106+V107+V112+V122+V123+V124</f>
        <v>278353.54000000004</v>
      </c>
      <c r="W125" s="48">
        <f>W18+W19+W20+W30+W35+W36+W37+W54+W55+W56+W57+W58+W61+W62+W63+W64+W65+W66+W75+W76+W82+W83+W84+W89+W90+W91+W92+W93+W106+W107+W112+W122+W123+W124</f>
        <v>362397.43999999994</v>
      </c>
      <c r="X125" s="48">
        <f>X18+X19+X20+X30+X35+X36+X37+X54+X55+X56+X57+X58+X61+X62+X63+X64+X65+X66+X75+X76+X82+X83+X84+X89+X90+X91+X92+X93+X106+X107+X112+X122+X123+X124</f>
        <v>228898.60000000003</v>
      </c>
      <c r="Y125" s="48">
        <f>Y18+Y19+Y20+Y30+Y35+Y36+Y37+Y54+Y55+Y56+Y57+Y58+Y61+Y62+Y63+Y64+Y65+Y66+Y75+Y76+Y82+Y83+Y84+Y89+Y90+Y91+Y92+Y93+Y106+Y107+Y112+Y122+Y123+Y124</f>
        <v>259343.28999999998</v>
      </c>
      <c r="Z125" s="49">
        <f>B125+C125+D125+E125+F125+G125+H125+I125+J125+K125+L125+M125+N125+O125+P125+Q125+R125+S125+T125+U125+V125+W125+X125+Y125</f>
        <v>4633731.5200000005</v>
      </c>
    </row>
    <row r="126" spans="1:26" ht="16">
      <c r="A126" s="38" t="s">
        <v>123</v>
      </c>
      <c r="B126" s="48">
        <f>B17-B125</f>
        <v>19117.499999999993</v>
      </c>
      <c r="C126" s="48">
        <f>C17-C125</f>
        <v>-79943.83999999998</v>
      </c>
      <c r="D126" s="48">
        <f>D17-D125</f>
        <v>-22587.64000000003</v>
      </c>
      <c r="E126" s="48">
        <f>E17-E125</f>
        <v>-31502.459999999992</v>
      </c>
      <c r="F126" s="48">
        <f>F17-F125</f>
        <v>-3944.2600000000384</v>
      </c>
      <c r="G126" s="48">
        <f>G17-G125</f>
        <v>12832.959999999905</v>
      </c>
      <c r="H126" s="48">
        <f>H17-H125</f>
        <v>56645.30999999997</v>
      </c>
      <c r="I126" s="48">
        <f>I17-I125</f>
        <v>-73965.54000000001</v>
      </c>
      <c r="J126" s="48">
        <f>J17-J125</f>
        <v>37102.45000000004</v>
      </c>
      <c r="K126" s="48">
        <f>K17-K125</f>
        <v>14550.010000000038</v>
      </c>
      <c r="L126" s="48">
        <f>L17-L125</f>
        <v>-53249.0</v>
      </c>
      <c r="M126" s="48">
        <f>M17-M125</f>
        <v>106973.35999999996</v>
      </c>
      <c r="N126" s="48">
        <f>N17-N125</f>
        <v>215271.74000000002</v>
      </c>
      <c r="O126" s="48">
        <f>O17-O125</f>
        <v>54390.44999999998</v>
      </c>
      <c r="P126" s="48">
        <f>P17-P125</f>
        <v>16017.139999999985</v>
      </c>
      <c r="Q126" s="48">
        <f>Q17-Q125</f>
        <v>-16291.619999999995</v>
      </c>
      <c r="R126" s="48">
        <f>R17-R125</f>
        <v>25057.609999999986</v>
      </c>
      <c r="S126" s="48">
        <f>S17-S125</f>
        <v>71752.70999999996</v>
      </c>
      <c r="T126" s="48">
        <f>T17-T125</f>
        <v>79646.90999999997</v>
      </c>
      <c r="U126" s="48">
        <f>U17-U125</f>
        <v>190395.4</v>
      </c>
      <c r="V126" s="48">
        <f>V17-V125</f>
        <v>100835.5099999999</v>
      </c>
      <c r="W126" s="48">
        <f>W17-W125</f>
        <v>-103625.38</v>
      </c>
      <c r="X126" s="48">
        <f>X17-X125</f>
        <v>-40738.30000000005</v>
      </c>
      <c r="Y126" s="48">
        <f>Y17-Y125</f>
        <v>6913.440000000002</v>
      </c>
      <c r="Z126" s="49">
        <f>B126+C126+D126+E126+F126+G126+H126+I126+J126+K126+L126+M126+N126+O126+P126+Q126+R126+S126+T126+U126+V126+W126+X126+Y126</f>
        <v>581654.4599999995</v>
      </c>
    </row>
    <row r="127" spans="1:25" ht="16">
      <c r="A127" s="36" t="s">
        <v>124</v>
      </c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</row>
    <row r="128" spans="1:26" ht="16">
      <c r="A128" s="37" t="s">
        <v>125</v>
      </c>
      <c r="B128" s="46"/>
      <c r="C128" s="46"/>
      <c r="D128" s="46"/>
      <c r="E128" s="46"/>
      <c r="F128" s="47">
        <v>34.73</v>
      </c>
      <c r="G128" s="46"/>
      <c r="H128" s="46"/>
      <c r="I128" s="46"/>
      <c r="J128" s="47">
        <v>32.93</v>
      </c>
      <c r="K128" s="46"/>
      <c r="L128" s="46"/>
      <c r="M128" s="46"/>
      <c r="N128" s="46"/>
      <c r="O128" s="47">
        <v>47.29</v>
      </c>
      <c r="P128" s="46"/>
      <c r="Q128" s="46"/>
      <c r="R128" s="46"/>
      <c r="S128" s="47">
        <v>24.76</v>
      </c>
      <c r="T128" s="46"/>
      <c r="U128" s="46"/>
      <c r="V128" s="46"/>
      <c r="W128" s="47">
        <v>20.3</v>
      </c>
      <c r="X128" s="46"/>
      <c r="Y128" s="46"/>
      <c r="Z128" s="47">
        <f>B128+C128+D128+E128+F128+G128+H128+I128+J128+K128+L128+M128+N128+O128+P128+Q128+R128+S128+T128+U128+V128+W128+X128+Y128</f>
        <v>160.01</v>
      </c>
    </row>
    <row r="129" spans="1:26" ht="16">
      <c r="A129" s="37" t="s">
        <v>126</v>
      </c>
      <c r="B129" s="47">
        <v>6375.0</v>
      </c>
      <c r="C129" s="47">
        <v>6375.0</v>
      </c>
      <c r="D129" s="47">
        <v>6375.0</v>
      </c>
      <c r="E129" s="47">
        <v>6375.0</v>
      </c>
      <c r="F129" s="46"/>
      <c r="G129" s="47">
        <v>6375.0</v>
      </c>
      <c r="H129" s="47">
        <v>6375.0</v>
      </c>
      <c r="I129" s="47">
        <v>6375.0</v>
      </c>
      <c r="J129" s="47">
        <v>6375.0</v>
      </c>
      <c r="K129" s="47">
        <v>6375.0</v>
      </c>
      <c r="L129" s="47">
        <v>6375.0</v>
      </c>
      <c r="M129" s="47">
        <v>6375.0</v>
      </c>
      <c r="N129" s="47">
        <v>6375.0</v>
      </c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7">
        <f>B129+C129+D129+E129+F129+G129+H129+I129+J129+K129+L129+M129+N129+O129+P129+Q129+R129+S129+T129+U129+V129+W129+X129+Y129</f>
        <v>76500.0</v>
      </c>
    </row>
    <row r="130" spans="1:26" ht="16">
      <c r="A130" s="38" t="s">
        <v>127</v>
      </c>
      <c r="B130" s="48">
        <f>B127+B128+B129</f>
        <v>6375.0</v>
      </c>
      <c r="C130" s="48">
        <f>C127+C128+C129</f>
        <v>6375.0</v>
      </c>
      <c r="D130" s="48">
        <f>D127+D128+D129</f>
        <v>6375.0</v>
      </c>
      <c r="E130" s="48">
        <f>E127+E128+E129</f>
        <v>6375.0</v>
      </c>
      <c r="F130" s="48">
        <f>F127+F128+F129</f>
        <v>34.73</v>
      </c>
      <c r="G130" s="48">
        <f>G127+G128+G129</f>
        <v>6375.0</v>
      </c>
      <c r="H130" s="48">
        <f>H127+H128+H129</f>
        <v>6375.0</v>
      </c>
      <c r="I130" s="48">
        <f>I127+I128+I129</f>
        <v>6375.0</v>
      </c>
      <c r="J130" s="48">
        <f>J127+J128+J129</f>
        <v>6407.93</v>
      </c>
      <c r="K130" s="48">
        <f>K127+K128+K129</f>
        <v>6375.0</v>
      </c>
      <c r="L130" s="48">
        <f>L127+L128+L129</f>
        <v>6375.0</v>
      </c>
      <c r="M130" s="48">
        <f>M127+M128+M129</f>
        <v>6375.0</v>
      </c>
      <c r="N130" s="48">
        <f>N127+N128+N129</f>
        <v>6375.0</v>
      </c>
      <c r="O130" s="48">
        <f>O127+O128+O129</f>
        <v>47.29</v>
      </c>
      <c r="P130" s="49">
        <f>P127+P128+P129</f>
        <v>0.0</v>
      </c>
      <c r="Q130" s="49">
        <f>Q127+Q128+Q129</f>
        <v>0.0</v>
      </c>
      <c r="R130" s="49">
        <f>R127+R128+R129</f>
        <v>0.0</v>
      </c>
      <c r="S130" s="48">
        <f>S127+S128+S129</f>
        <v>24.76</v>
      </c>
      <c r="T130" s="49">
        <f>T127+T128+T129</f>
        <v>0.0</v>
      </c>
      <c r="U130" s="49">
        <f>U127+U128+U129</f>
        <v>0.0</v>
      </c>
      <c r="V130" s="49">
        <f>V127+V128+V129</f>
        <v>0.0</v>
      </c>
      <c r="W130" s="48">
        <f>W127+W128+W129</f>
        <v>20.3</v>
      </c>
      <c r="X130" s="49">
        <f>X127+X128+X129</f>
        <v>0.0</v>
      </c>
      <c r="Y130" s="49">
        <f>Y127+Y128+Y129</f>
        <v>0.0</v>
      </c>
      <c r="Z130" s="49">
        <f>B130+C130+D130+E130+F130+G130+H130+I130+J130+K130+L130+M130+N130+O130+P130+Q130+R130+S130+T130+U130+V130+W130+X130+Y130</f>
        <v>76660.01</v>
      </c>
    </row>
    <row r="131" spans="1:26" ht="16">
      <c r="A131" s="38" t="s">
        <v>128</v>
      </c>
      <c r="B131" s="48">
        <f>B130-0</f>
        <v>6375.0</v>
      </c>
      <c r="C131" s="48">
        <f>C130-0</f>
        <v>6375.0</v>
      </c>
      <c r="D131" s="48">
        <f>D130-0</f>
        <v>6375.0</v>
      </c>
      <c r="E131" s="48">
        <f>E130-0</f>
        <v>6375.0</v>
      </c>
      <c r="F131" s="48">
        <f>F130-0</f>
        <v>34.73</v>
      </c>
      <c r="G131" s="48">
        <f>G130-0</f>
        <v>6375.0</v>
      </c>
      <c r="H131" s="48">
        <f>H130-0</f>
        <v>6375.0</v>
      </c>
      <c r="I131" s="48">
        <f>I130-0</f>
        <v>6375.0</v>
      </c>
      <c r="J131" s="48">
        <f>J130-0</f>
        <v>6407.93</v>
      </c>
      <c r="K131" s="48">
        <f>K130-0</f>
        <v>6375.0</v>
      </c>
      <c r="L131" s="48">
        <f>L130-0</f>
        <v>6375.0</v>
      </c>
      <c r="M131" s="48">
        <f>M130-0</f>
        <v>6375.0</v>
      </c>
      <c r="N131" s="48">
        <f>N130-0</f>
        <v>6375.0</v>
      </c>
      <c r="O131" s="48">
        <f>O130-0</f>
        <v>47.29</v>
      </c>
      <c r="P131" s="49">
        <f>P130-0</f>
        <v>0.0</v>
      </c>
      <c r="Q131" s="49">
        <f>Q130-0</f>
        <v>0.0</v>
      </c>
      <c r="R131" s="49">
        <f>R130-0</f>
        <v>0.0</v>
      </c>
      <c r="S131" s="48">
        <f>S130-0</f>
        <v>24.76</v>
      </c>
      <c r="T131" s="49">
        <f>T130-0</f>
        <v>0.0</v>
      </c>
      <c r="U131" s="49">
        <f>U130-0</f>
        <v>0.0</v>
      </c>
      <c r="V131" s="49">
        <f>V130-0</f>
        <v>0.0</v>
      </c>
      <c r="W131" s="48">
        <f>W130-0</f>
        <v>20.3</v>
      </c>
      <c r="X131" s="49">
        <f>X130-0</f>
        <v>0.0</v>
      </c>
      <c r="Y131" s="49">
        <f>Y130-0</f>
        <v>0.0</v>
      </c>
      <c r="Z131" s="49">
        <f>B131+C131+D131+E131+F131+G131+H131+I131+J131+K131+L131+M131+N131+O131+P131+Q131+R131+S131+T131+U131+V131+W131+X131+Y131</f>
        <v>76660.01</v>
      </c>
    </row>
    <row r="132" spans="1:26" ht="16">
      <c r="A132" s="38" t="s">
        <v>129</v>
      </c>
      <c r="B132" s="48">
        <f>B126+B131</f>
        <v>25492.499999999993</v>
      </c>
      <c r="C132" s="48">
        <f>C126+C131</f>
        <v>-73568.83999999998</v>
      </c>
      <c r="D132" s="48">
        <f>D126+D131</f>
        <v>-16212.640000000029</v>
      </c>
      <c r="E132" s="48">
        <f>E126+E131</f>
        <v>-25127.459999999992</v>
      </c>
      <c r="F132" s="48">
        <f>F126+F131</f>
        <v>-3909.5300000000384</v>
      </c>
      <c r="G132" s="48">
        <f>G126+G131</f>
        <v>19207.959999999905</v>
      </c>
      <c r="H132" s="48">
        <f>H126+H131</f>
        <v>63020.30999999997</v>
      </c>
      <c r="I132" s="48">
        <f>I126+I131</f>
        <v>-67590.54000000001</v>
      </c>
      <c r="J132" s="48">
        <f>J126+J131</f>
        <v>43510.38000000004</v>
      </c>
      <c r="K132" s="48">
        <f>K126+K131</f>
        <v>20925.01000000004</v>
      </c>
      <c r="L132" s="48">
        <f>L126+L131</f>
        <v>-46874.0</v>
      </c>
      <c r="M132" s="48">
        <f>M126+M131</f>
        <v>113348.35999999996</v>
      </c>
      <c r="N132" s="48">
        <f>N126+N131</f>
        <v>221646.74000000002</v>
      </c>
      <c r="O132" s="48">
        <f>O126+O131</f>
        <v>54437.73999999998</v>
      </c>
      <c r="P132" s="48">
        <f>P126+P131</f>
        <v>16017.139999999985</v>
      </c>
      <c r="Q132" s="48">
        <f>Q126+Q131</f>
        <v>-16291.619999999995</v>
      </c>
      <c r="R132" s="48">
        <f>R126+R131</f>
        <v>25057.609999999986</v>
      </c>
      <c r="S132" s="48">
        <f>S126+S131</f>
        <v>71777.46999999996</v>
      </c>
      <c r="T132" s="48">
        <f>T126+T131</f>
        <v>79646.90999999997</v>
      </c>
      <c r="U132" s="48">
        <f>U126+U131</f>
        <v>190395.4</v>
      </c>
      <c r="V132" s="48">
        <f>V126+V131</f>
        <v>100835.5099999999</v>
      </c>
      <c r="W132" s="48">
        <f>W126+W131</f>
        <v>-103605.08</v>
      </c>
      <c r="X132" s="48">
        <f>X126+X131</f>
        <v>-40738.30000000005</v>
      </c>
      <c r="Y132" s="48">
        <f>Y126+Y131</f>
        <v>6913.440000000002</v>
      </c>
      <c r="Z132" s="49">
        <f>B132+C132+D132+E132+F132+G132+H132+I132+J132+K132+L132+M132+N132+O132+P132+Q132+R132+S132+T132+U132+V132+W132+X132+Y132</f>
        <v>658314.4699999997</v>
      </c>
    </row>
    <row r="136" spans="1:1" ht="16">
      <c r="A136" s="52" t="s">
        <v>156</v>
      </c>
    </row>
  </sheetData>
  <mergeCells count="4">
    <mergeCell ref="A1:Z1"/>
    <mergeCell ref="A2:Z2"/>
    <mergeCell ref="A3:Z3"/>
    <mergeCell ref="A136:Z13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
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1" i="1" l="1"/>
</calcChain>
</file>

<file path=xl/sharedStrings.xml><?xml version="1.0" encoding="utf-8"?>
<sst xmlns="http://schemas.openxmlformats.org/spreadsheetml/2006/main" count="154" uniqueCount="154">
  <si>
    <t>CE &amp; SF Combined</t>
  </si>
  <si>
    <t>Profit and Loss</t>
  </si>
  <si>
    <t>January 1-May 30,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</si>
  <si>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</si>
  <si>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</si>
  <si>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</si>
  <si>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</si>
  <si>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</si>
  <si>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</si>
  <si>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</si>
  <si>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</si>
  <si>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</si>
  <si>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</si>
  <si>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</si>
  <si>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</si>
  <si>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</si>
  <si>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</si>
  <si>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</si>
  <si>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</si>
  <si>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2024 BMW I7</t>
  </si>
  <si>
    <t>2024 GMC Hummer</t>
  </si>
  <si>
    <t>2024 Yamaha 275 SDX</t>
  </si>
  <si>
    <t>2025 Cadillac Escalade</t>
  </si>
  <si>
    <t>Bank of America - Range Rover</t>
  </si>
  <si>
    <t>Forklift</t>
  </si>
  <si>
    <t>MBFS - Sprinter</t>
  </si>
  <si>
    <t>Tesla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</si>
  <si>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</si>
  <si>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</si>
  <si>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</si>
  <si>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</si>
  <si>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</si>
  <si>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</si>
  <si>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</si>
  <si>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</si>
  <si>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</si>
  <si>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</si>
  <si>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</si>
  <si>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</si>
  <si>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</si>
  <si>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</si>
  <si>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</si>
  <si>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</si>
  <si>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</si>
  <si>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Shareholder Distributions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</si>
  <si>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</si>
  <si>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</si>
  <si>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</si>
  <si>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</si>
  <si>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</si>
  <si>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Utilities - CE East</t>
  </si>
  <si>
    <t>Total for Capacity Express East</t>
  </si>
  <si>
    <t>Cat Scale</t>
  </si>
  <si>
    <t>Charging Costs</t>
  </si>
  <si>
    <t>Charitable Donations</t>
  </si>
  <si>
    <t>Computer &amp; Software</t>
  </si>
  <si>
    <t>Cost of Labor</t>
  </si>
  <si>
    <t>Owner Operators</t>
  </si>
  <si>
    <t>Total for Cost of Labor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</si>
  <si>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</si>
  <si>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</si>
  <si>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</si>
  <si>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</si>
  <si>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</si>
  <si>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</si>
  <si>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</si>
  <si>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</si>
  <si>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</si>
  <si>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</si>
  <si>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</si>
  <si>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</si>
  <si>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</si>
  <si>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</si>
  <si>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</si>
  <si>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</si>
  <si>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</si>
  <si>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</si>
  <si>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</si>
  <si>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</si>
  <si>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</si>
  <si>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</si>
  <si>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</si>
  <si>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</si>
  <si>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</si>
  <si>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</si>
  <si>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</si>
  <si>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Postage &amp; Shipping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</si>
  <si>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</si>
  <si>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</si>
  <si>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</si>
  <si>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</si>
  <si>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</si>
  <si>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</si>
  <si>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</si>
  <si>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</si>
  <si>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Federal Tax</t>
  </si>
  <si>
    <t>Modified Business Tax</t>
  </si>
  <si>
    <t>State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</si>
  <si>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</si>
  <si>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</si>
  <si>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</si>
  <si>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</si>
  <si>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</si>
  <si>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</si>
  <si>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</si>
  <si>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</si>
  <si>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</si>
  <si>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</si>
  <si>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</si>
  <si>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</si>
  <si>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</si>
  <si>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</si>
  <si>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</si>
  <si>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</si>
  <si>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</si>
  <si>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</si>
  <si>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</si>
  <si>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</si>
  <si>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</si>
  <si>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</si>
  <si>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Vehicle Registration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</si>
  <si>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</si>
  <si>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</si>
  <si>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</si>
  <si>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</si>
  <si>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</si>
  <si>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</si>
  <si>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</si>
  <si>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</si>
  <si>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</si>
  <si>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Jan 1-4 2026</t>
  </si>
  <si>
    <t>Jan 5-11 2026</t>
  </si>
  <si>
    <t>Jan 12-18 2026</t>
  </si>
  <si>
    <t>Jan 19-25 2026</t>
  </si>
  <si>
    <t>Jan 26 - Feb 1 2026</t>
  </si>
  <si>
    <t>Feb 2-8 2026</t>
  </si>
  <si>
    <t>Feb 9-15 2026</t>
  </si>
  <si>
    <t>Feb 16-22 2026</t>
  </si>
  <si>
    <t>Feb 23 - Mar 1 2026</t>
  </si>
  <si>
    <t>Mar 2-8 2026</t>
  </si>
  <si>
    <t>Mar 9-15 2026</t>
  </si>
  <si>
    <t>Mar 16-22 2026</t>
  </si>
  <si>
    <t>Mar 23-29 2026</t>
  </si>
  <si>
    <t>Mar 30 - Apr 5 2026</t>
  </si>
  <si>
    <t>Apr 6-12 2026</t>
  </si>
  <si>
    <t>Apr 13-19 2026</t>
  </si>
  <si>
    <t>Apr 20-26 2026</t>
  </si>
  <si>
    <t>Apr 27 - May 3 2026</t>
  </si>
  <si>
    <t>May 4-10 2026</t>
  </si>
  <si>
    <t>May 11-17 2026</t>
  </si>
  <si>
    <t>May 18-24 2026</t>
  </si>
  <si>
    <t>May 25-30 2026</t>
  </si>
  <si>
    <t>Total</t>
  </si>
  <si>
    <t>Accrual Basis Saturday, May 30, 2026 04:44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</si>
</sst>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X135"/>
  <sheetViews>
    <sheetView tabSelected="1" workbookViewId="0" topLeftCell="A1"/>
  </sheetViews>
  <sheetFormatPr defaultColWidth="11.255" defaultRowHeight="16"/>
  <cols>
    <col min="1" max="1" width="32.375" style="43" customWidth="1"/>
    <col min="2" max="3" width="16.125" style="43" customWidth="1"/>
    <col min="4" max="6" width="17" style="43" customWidth="1"/>
    <col min="7" max="9" width="16.125" style="43" customWidth="1"/>
    <col min="10" max="10" width="17" style="43" customWidth="1"/>
    <col min="11" max="14" width="16.125" style="43" customWidth="1"/>
    <col min="15" max="15" width="17" style="43" customWidth="1"/>
    <col min="16" max="16" width="16.125" style="43" customWidth="1"/>
    <col min="17" max="17" width="17" style="43" customWidth="1"/>
    <col min="18" max="18" width="16.125" style="43" customWidth="1"/>
    <col min="19" max="19" width="17" style="43" customWidth="1"/>
    <col min="20" max="20" width="15.25" style="43" customWidth="1"/>
    <col min="21" max="24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24" ht="16">
      <c r="A5" s="45" t="s">
        <v>129</v>
      </c>
      <c r="B5" s="50" t="s">
        <v>130</v>
      </c>
      <c r="C5" s="50" t="s">
        <v>131</v>
      </c>
      <c r="D5" s="50" t="s">
        <v>132</v>
      </c>
      <c r="E5" s="50" t="s">
        <v>133</v>
      </c>
      <c r="F5" s="50" t="s">
        <v>134</v>
      </c>
      <c r="G5" s="50" t="s">
        <v>135</v>
      </c>
      <c r="H5" s="50" t="s">
        <v>136</v>
      </c>
      <c r="I5" s="50" t="s">
        <v>137</v>
      </c>
      <c r="J5" s="50" t="s">
        <v>138</v>
      </c>
      <c r="K5" s="50" t="s">
        <v>139</v>
      </c>
      <c r="L5" s="50" t="s">
        <v>140</v>
      </c>
      <c r="M5" s="50" t="s">
        <v>141</v>
      </c>
      <c r="N5" s="50" t="s">
        <v>142</v>
      </c>
      <c r="O5" s="50" t="s">
        <v>143</v>
      </c>
      <c r="P5" s="50" t="s">
        <v>144</v>
      </c>
      <c r="Q5" s="50" t="s">
        <v>145</v>
      </c>
      <c r="R5" s="50" t="s">
        <v>146</v>
      </c>
      <c r="S5" s="50" t="s">
        <v>147</v>
      </c>
      <c r="T5" s="50" t="s">
        <v>148</v>
      </c>
      <c r="U5" s="50" t="s">
        <v>149</v>
      </c>
      <c r="V5" s="50" t="s">
        <v>150</v>
      </c>
      <c r="W5" s="50" t="s">
        <v>151</v>
      </c>
      <c r="X5" s="50" t="s">
        <v>152</v>
      </c>
    </row>
    <row r="6" spans="1:2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 spans="1:24" ht="16">
      <c r="A7" s="37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>
        <v>17692.01</v>
      </c>
      <c r="P7" s="47">
        <v>42079.5</v>
      </c>
      <c r="Q7" s="47">
        <v>33577.0</v>
      </c>
      <c r="R7" s="47">
        <v>56475.0</v>
      </c>
      <c r="S7" s="47">
        <v>62682.0</v>
      </c>
      <c r="T7" s="47">
        <v>26682.3</v>
      </c>
      <c r="U7" s="47">
        <v>25525.0</v>
      </c>
      <c r="V7" s="47">
        <v>21779.35</v>
      </c>
      <c r="W7" s="47">
        <v>41827.25</v>
      </c>
      <c r="X7" s="47">
        <f>B7+C7+D7+E7+F7+G7+H7+I7+J7+K7+L7+M7+N7+O7+P7+Q7+R7+S7+T7+U7+V7+W7</f>
        <v>328319.41</v>
      </c>
    </row>
    <row r="8" spans="1:24" ht="16">
      <c r="A8" s="37" t="s">
        <v>5</v>
      </c>
      <c r="B8" s="47">
        <v>71474.65</v>
      </c>
      <c r="C8" s="47">
        <v>103721.7</v>
      </c>
      <c r="D8" s="47">
        <v>164803.92</v>
      </c>
      <c r="E8" s="47">
        <v>157601.79</v>
      </c>
      <c r="F8" s="47">
        <v>165858.08</v>
      </c>
      <c r="G8" s="47">
        <v>355998.69</v>
      </c>
      <c r="H8" s="47">
        <v>403325.58</v>
      </c>
      <c r="I8" s="47">
        <v>200471.24</v>
      </c>
      <c r="J8" s="47">
        <v>304358.58</v>
      </c>
      <c r="K8" s="47">
        <v>286145.38</v>
      </c>
      <c r="L8" s="47">
        <v>123160.85</v>
      </c>
      <c r="M8" s="47">
        <v>557108.0</v>
      </c>
      <c r="N8" s="47">
        <v>652624.29</v>
      </c>
      <c r="O8" s="47">
        <v>238980.74</v>
      </c>
      <c r="P8" s="47">
        <v>284152.0</v>
      </c>
      <c r="Q8" s="47">
        <v>213785.03</v>
      </c>
      <c r="R8" s="47">
        <v>289391.5</v>
      </c>
      <c r="S8" s="47">
        <v>460519.09</v>
      </c>
      <c r="T8" s="47">
        <v>395010.95</v>
      </c>
      <c r="U8" s="47">
        <v>573500.5</v>
      </c>
      <c r="V8" s="47">
        <v>619783.65</v>
      </c>
      <c r="W8" s="47">
        <v>235869.96</v>
      </c>
      <c r="X8" s="47">
        <f>B8+C8+D8+E8+F8+G8+H8+I8+J8+K8+L8+M8+N8+O8+P8+Q8+R8+S8+T8+U8+V8+W8</f>
        <v>6857646.170000001</v>
      </c>
    </row>
    <row r="9" spans="1:24" ht="16">
      <c r="A9" s="37" t="s">
        <v>6</v>
      </c>
      <c r="B9" s="47">
        <v>1049.0</v>
      </c>
      <c r="C9" s="47">
        <v>150.0</v>
      </c>
      <c r="D9" s="47">
        <v>5865.4</v>
      </c>
      <c r="E9" s="47">
        <v>3332.85</v>
      </c>
      <c r="F9" s="47">
        <v>4550.0</v>
      </c>
      <c r="G9" s="47">
        <v>434.85</v>
      </c>
      <c r="H9" s="47">
        <v>1035.0</v>
      </c>
      <c r="I9" s="47">
        <v>635.9</v>
      </c>
      <c r="J9" s="47">
        <v>4530.75</v>
      </c>
      <c r="K9" s="47">
        <v>15005.0</v>
      </c>
      <c r="L9" s="47">
        <v>70.0</v>
      </c>
      <c r="M9" s="47">
        <v>880.0</v>
      </c>
      <c r="N9" s="46"/>
      <c r="O9" s="47">
        <v>2767.68</v>
      </c>
      <c r="P9" s="47">
        <v>200.0</v>
      </c>
      <c r="Q9" s="47">
        <v>729.9</v>
      </c>
      <c r="R9" s="47">
        <v>291.0</v>
      </c>
      <c r="S9" s="46"/>
      <c r="T9" s="46"/>
      <c r="U9" s="47">
        <v>629.0</v>
      </c>
      <c r="V9" s="47">
        <v>945.86</v>
      </c>
      <c r="W9" s="47">
        <v>15832.86</v>
      </c>
      <c r="X9" s="47">
        <f>B9+C9+D9+E9+F9+G9+H9+I9+J9+K9+L9+M9+N9+O9+P9+Q9+R9+S9+T9+U9+V9+W9</f>
        <v>58935.05</v>
      </c>
    </row>
    <row r="10" spans="1:24" ht="16">
      <c r="A10" s="37" t="s">
        <v>7</v>
      </c>
      <c r="B10" s="47">
        <v>14362.37</v>
      </c>
      <c r="C10" s="47">
        <v>63463.93</v>
      </c>
      <c r="D10" s="47">
        <v>68403.04</v>
      </c>
      <c r="E10" s="47">
        <v>89058.86</v>
      </c>
      <c r="F10" s="47">
        <v>79466.2</v>
      </c>
      <c r="G10" s="47">
        <v>85296.04</v>
      </c>
      <c r="H10" s="47">
        <v>121889.79</v>
      </c>
      <c r="I10" s="47">
        <v>58840.48</v>
      </c>
      <c r="J10" s="47">
        <v>71016.84</v>
      </c>
      <c r="K10" s="47">
        <v>68554.2</v>
      </c>
      <c r="L10" s="47">
        <v>78440.06</v>
      </c>
      <c r="M10" s="47">
        <v>125457.61</v>
      </c>
      <c r="N10" s="47">
        <v>187561.15</v>
      </c>
      <c r="O10" s="47">
        <v>153613.17</v>
      </c>
      <c r="P10" s="47">
        <v>135504.8</v>
      </c>
      <c r="Q10" s="47">
        <v>109382.04</v>
      </c>
      <c r="R10" s="47">
        <v>128863.11</v>
      </c>
      <c r="S10" s="47">
        <v>198383.54</v>
      </c>
      <c r="T10" s="47">
        <v>170301.98</v>
      </c>
      <c r="U10" s="47">
        <v>237565.05</v>
      </c>
      <c r="V10" s="47">
        <v>141802.81</v>
      </c>
      <c r="W10" s="47">
        <v>145103.06</v>
      </c>
      <c r="X10" s="47">
        <f>B10+C10+D10+E10+F10+G10+H10+I10+J10+K10+L10+M10+N10+O10+P10+Q10+R10+S10+T10+U10+V10+W10</f>
        <v>2532330.13</v>
      </c>
    </row>
    <row r="11" spans="1:24" ht="16">
      <c r="A11" s="38" t="s">
        <v>8</v>
      </c>
      <c r="B11" s="48">
        <f>B6+B7+B8+B9+B10</f>
        <v>86886.01999999999</v>
      </c>
      <c r="C11" s="48">
        <f>C6+C7+C8+C9+C10</f>
        <v>167335.63</v>
      </c>
      <c r="D11" s="48">
        <f>D6+D7+D8+D9+D10</f>
        <v>239072.36</v>
      </c>
      <c r="E11" s="48">
        <f>E6+E7+E8+E9+E10</f>
        <v>249993.5</v>
      </c>
      <c r="F11" s="48">
        <f>F6+F7+F8+F9+F10</f>
        <v>249874.27999999997</v>
      </c>
      <c r="G11" s="48">
        <f>G6+G7+G8+G9+G10</f>
        <v>441729.57999999996</v>
      </c>
      <c r="H11" s="48">
        <f>H6+H7+H8+H9+H10</f>
        <v>526250.37</v>
      </c>
      <c r="I11" s="48">
        <f>I6+I7+I8+I9+I10</f>
        <v>259947.62</v>
      </c>
      <c r="J11" s="48">
        <f>J6+J7+J8+J9+J10</f>
        <v>379906.17000000004</v>
      </c>
      <c r="K11" s="48">
        <f>K6+K7+K8+K9+K10</f>
        <v>369704.58</v>
      </c>
      <c r="L11" s="48">
        <f>L6+L7+L8+L9+L10</f>
        <v>201670.91</v>
      </c>
      <c r="M11" s="48">
        <f>M6+M7+M8+M9+M10</f>
        <v>683445.61</v>
      </c>
      <c r="N11" s="48">
        <f>N6+N7+N8+N9+N10</f>
        <v>840185.4400000001</v>
      </c>
      <c r="O11" s="48">
        <f>O6+O7+O8+O9+O10</f>
        <v>413053.6</v>
      </c>
      <c r="P11" s="48">
        <f>P6+P7+P8+P9+P10</f>
        <v>461936.3</v>
      </c>
      <c r="Q11" s="48">
        <f>Q6+Q7+Q8+Q9+Q10</f>
        <v>357473.97</v>
      </c>
      <c r="R11" s="48">
        <f>R6+R7+R8+R9+R10</f>
        <v>475020.61</v>
      </c>
      <c r="S11" s="48">
        <f>S6+S7+S8+S9+S10</f>
        <v>721584.63</v>
      </c>
      <c r="T11" s="48">
        <f>T6+T7+T8+T9+T10</f>
        <v>591995.23</v>
      </c>
      <c r="U11" s="48">
        <f>U6+U7+U8+U9+U10</f>
        <v>837219.55</v>
      </c>
      <c r="V11" s="48">
        <f>V6+V7+V8+V9+V10</f>
        <v>784311.6699999999</v>
      </c>
      <c r="W11" s="48">
        <f>W6+W7+W8+W9+W10</f>
        <v>438633.12999999995</v>
      </c>
      <c r="X11" s="49">
        <f>B11+C11+D11+E11+F11+G11+H11+I11+J11+K11+L11+M11+N11+O11+P11+Q11+R11+S11+T11+U11+V11+W11</f>
        <v>9777230.760000002</v>
      </c>
    </row>
    <row r="12" spans="1:23" ht="16">
      <c r="A12" s="36" t="s">
        <v>9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 spans="1:24" ht="16">
      <c r="A13" s="37" t="s">
        <v>10</v>
      </c>
      <c r="B13" s="47">
        <v>34100.0</v>
      </c>
      <c r="C13" s="47">
        <v>88060.25</v>
      </c>
      <c r="D13" s="47">
        <v>138771.76</v>
      </c>
      <c r="E13" s="47">
        <v>136472.5</v>
      </c>
      <c r="F13" s="47">
        <v>99818.75</v>
      </c>
      <c r="G13" s="47">
        <v>276707.25</v>
      </c>
      <c r="H13" s="47">
        <v>280000.5</v>
      </c>
      <c r="I13" s="47">
        <v>133235.0</v>
      </c>
      <c r="J13" s="47">
        <v>204298.25</v>
      </c>
      <c r="K13" s="47">
        <v>198170.0</v>
      </c>
      <c r="L13" s="47">
        <v>90966.5</v>
      </c>
      <c r="M13" s="47">
        <v>372483.0</v>
      </c>
      <c r="N13" s="47">
        <v>397038.76</v>
      </c>
      <c r="O13" s="47">
        <v>191634.46</v>
      </c>
      <c r="P13" s="47">
        <v>228544.25</v>
      </c>
      <c r="Q13" s="47">
        <v>178386.21</v>
      </c>
      <c r="R13" s="47">
        <v>236591.25</v>
      </c>
      <c r="S13" s="47">
        <v>351777.5</v>
      </c>
      <c r="T13" s="47">
        <v>291650.38</v>
      </c>
      <c r="U13" s="47">
        <v>431256.0</v>
      </c>
      <c r="V13" s="47">
        <v>403415.27</v>
      </c>
      <c r="W13" s="47">
        <v>178132.0</v>
      </c>
      <c r="X13" s="47">
        <f>B13+C13+D13+E13+F13+G13+H13+I13+J13+K13+L13+M13+N13+O13+P13+Q13+R13+S13+T13+U13+V13+W13</f>
        <v>4941509.84</v>
      </c>
    </row>
    <row r="14" spans="1:24" ht="16">
      <c r="A14" s="37" t="s">
        <v>11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>
        <v>990.76</v>
      </c>
      <c r="N14" s="47">
        <v>2083.83</v>
      </c>
      <c r="O14" s="47">
        <v>2095.7</v>
      </c>
      <c r="P14" s="47">
        <v>1432.25</v>
      </c>
      <c r="Q14" s="47">
        <v>1460.81</v>
      </c>
      <c r="R14" s="47">
        <v>1437.29</v>
      </c>
      <c r="S14" s="47">
        <v>2140.82</v>
      </c>
      <c r="T14" s="47">
        <v>1950.8</v>
      </c>
      <c r="U14" s="47">
        <v>2643.69</v>
      </c>
      <c r="V14" s="47">
        <v>1707.35</v>
      </c>
      <c r="W14" s="47">
        <v>1729.07</v>
      </c>
      <c r="X14" s="47">
        <f>B14+C14+D14+E14+F14+G14+H14+I14+J14+K14+L14+M14+N14+O14+P14+Q14+R14+S14+T14+U14+V14+W14</f>
        <v>19672.37</v>
      </c>
    </row>
    <row r="15" spans="1:24" ht="16">
      <c r="A15" s="37" t="s">
        <v>12</v>
      </c>
      <c r="B15" s="47">
        <v>733.38</v>
      </c>
      <c r="C15" s="47">
        <v>2825.95</v>
      </c>
      <c r="D15" s="47">
        <v>3587.25</v>
      </c>
      <c r="E15" s="47">
        <v>4050.61</v>
      </c>
      <c r="F15" s="47">
        <v>3807.84</v>
      </c>
      <c r="G15" s="47">
        <v>8381.03</v>
      </c>
      <c r="H15" s="47">
        <v>10293.08</v>
      </c>
      <c r="I15" s="47">
        <v>4791.04</v>
      </c>
      <c r="J15" s="47">
        <v>7009.77</v>
      </c>
      <c r="K15" s="47">
        <v>6473.05</v>
      </c>
      <c r="L15" s="47">
        <v>3126.6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7">
        <f>B15+C15+D15+E15+F15+G15+H15+I15+J15+K15+L15+M15+N15+O15+P15+Q15+R15+S15+T15+U15+V15+W15</f>
        <v>55079.6</v>
      </c>
    </row>
    <row r="16" spans="1:24" ht="16">
      <c r="A16" s="38" t="s">
        <v>13</v>
      </c>
      <c r="B16" s="48">
        <f>B12+B13+B14+B15</f>
        <v>34833.38</v>
      </c>
      <c r="C16" s="48">
        <f>C12+C13+C14+C15</f>
        <v>90886.2</v>
      </c>
      <c r="D16" s="48">
        <f>D12+D13+D14+D15</f>
        <v>142359.01</v>
      </c>
      <c r="E16" s="48">
        <f>E12+E13+E14+E15</f>
        <v>140523.11</v>
      </c>
      <c r="F16" s="48">
        <f>F12+F13+F14+F15</f>
        <v>103626.59</v>
      </c>
      <c r="G16" s="48">
        <f>G12+G13+G14+G15</f>
        <v>285088.28</v>
      </c>
      <c r="H16" s="48">
        <f>H12+H13+H14+H15</f>
        <v>290293.58</v>
      </c>
      <c r="I16" s="48">
        <f>I12+I13+I14+I15</f>
        <v>138026.04</v>
      </c>
      <c r="J16" s="48">
        <f>J12+J13+J14+J15</f>
        <v>211308.02</v>
      </c>
      <c r="K16" s="48">
        <f>K12+K13+K14+K15</f>
        <v>204643.05</v>
      </c>
      <c r="L16" s="48">
        <f>L12+L13+L14+L15</f>
        <v>94093.1</v>
      </c>
      <c r="M16" s="48">
        <f>M12+M13+M14+M15</f>
        <v>373473.76</v>
      </c>
      <c r="N16" s="48">
        <f>N12+N13+N14+N15</f>
        <v>399122.59</v>
      </c>
      <c r="O16" s="48">
        <f>O12+O13+O14+O15</f>
        <v>193730.16</v>
      </c>
      <c r="P16" s="48">
        <f>P12+P13+P14+P15</f>
        <v>229976.5</v>
      </c>
      <c r="Q16" s="48">
        <f>Q12+Q13+Q14+Q15</f>
        <v>179847.02</v>
      </c>
      <c r="R16" s="48">
        <f>R12+R13+R14+R15</f>
        <v>238028.54</v>
      </c>
      <c r="S16" s="48">
        <f>S12+S13+S14+S15</f>
        <v>353918.32</v>
      </c>
      <c r="T16" s="48">
        <f>T12+T13+T14+T15</f>
        <v>293601.18</v>
      </c>
      <c r="U16" s="48">
        <f>U12+U13+U14+U15</f>
        <v>433899.69</v>
      </c>
      <c r="V16" s="48">
        <f>V12+V13+V14+V15</f>
        <v>405122.62</v>
      </c>
      <c r="W16" s="48">
        <f>W12+W13+W14+W15</f>
        <v>179861.07</v>
      </c>
      <c r="X16" s="49">
        <f>B16+C16+D16+E16+F16+G16+H16+I16+J16+K16+L16+M16+N16+O16+P16+Q16+R16+S16+T16+U16+V16+W16</f>
        <v>5016261.8100000005</v>
      </c>
    </row>
    <row r="17" spans="1:24" ht="16">
      <c r="A17" s="38" t="s">
        <v>14</v>
      </c>
      <c r="B17" s="48">
        <f>B11-B16</f>
        <v>52052.63999999999</v>
      </c>
      <c r="C17" s="48">
        <f>C11-C16</f>
        <v>76449.43000000001</v>
      </c>
      <c r="D17" s="48">
        <f>D11-D16</f>
        <v>96713.34999999998</v>
      </c>
      <c r="E17" s="48">
        <f>E11-E16</f>
        <v>109470.39000000001</v>
      </c>
      <c r="F17" s="48">
        <f>F11-F16</f>
        <v>146247.68999999997</v>
      </c>
      <c r="G17" s="48">
        <f>G11-G16</f>
        <v>156641.29999999993</v>
      </c>
      <c r="H17" s="48">
        <f>H11-H16</f>
        <v>235956.78999999998</v>
      </c>
      <c r="I17" s="48">
        <f>I11-I16</f>
        <v>121921.57999999999</v>
      </c>
      <c r="J17" s="48">
        <f>J11-J16</f>
        <v>168598.15000000005</v>
      </c>
      <c r="K17" s="48">
        <f>K11-K16</f>
        <v>165061.53000000003</v>
      </c>
      <c r="L17" s="48">
        <f>L11-L16</f>
        <v>107577.81</v>
      </c>
      <c r="M17" s="48">
        <f>M11-M16</f>
        <v>309971.85</v>
      </c>
      <c r="N17" s="48">
        <f>N11-N16</f>
        <v>441062.85000000003</v>
      </c>
      <c r="O17" s="48">
        <f>O11-O16</f>
        <v>219323.43999999997</v>
      </c>
      <c r="P17" s="48">
        <f>P11-P16</f>
        <v>231959.8</v>
      </c>
      <c r="Q17" s="48">
        <f>Q11-Q16</f>
        <v>177626.94999999998</v>
      </c>
      <c r="R17" s="48">
        <f>R11-R16</f>
        <v>236992.06999999998</v>
      </c>
      <c r="S17" s="48">
        <f>S11-S16</f>
        <v>367666.31</v>
      </c>
      <c r="T17" s="48">
        <f>T11-T16</f>
        <v>298394.05</v>
      </c>
      <c r="U17" s="48">
        <f>U11-U16</f>
        <v>403319.86000000004</v>
      </c>
      <c r="V17" s="48">
        <f>V11-V16</f>
        <v>379189.04999999993</v>
      </c>
      <c r="W17" s="48">
        <f>W11-W16</f>
        <v>258772.05999999994</v>
      </c>
      <c r="X17" s="49">
        <f>B17+C17+D17+E17+F17+G17+H17+I17+J17+K17+L17+M17+N17+O17+P17+Q17+R17+S17+T17+U17+V17+W17</f>
        <v>4760968.949999999</v>
      </c>
    </row>
    <row r="18" spans="1:23" ht="16">
      <c r="A18" s="36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 spans="1:24" ht="16">
      <c r="A19" s="37" t="s">
        <v>16</v>
      </c>
      <c r="B19" s="47">
        <v>929.69</v>
      </c>
      <c r="C19" s="47">
        <v>1896.9</v>
      </c>
      <c r="D19" s="47">
        <v>2051.64</v>
      </c>
      <c r="E19" s="47">
        <v>2566.54</v>
      </c>
      <c r="F19" s="47">
        <v>2760.14</v>
      </c>
      <c r="G19" s="47">
        <v>1911.89</v>
      </c>
      <c r="H19" s="47">
        <v>2099.68</v>
      </c>
      <c r="I19" s="47">
        <v>2916.48</v>
      </c>
      <c r="J19" s="47">
        <v>2907.03</v>
      </c>
      <c r="K19" s="47">
        <v>1346.41</v>
      </c>
      <c r="L19" s="47">
        <v>4818.45</v>
      </c>
      <c r="M19" s="47">
        <v>1537.6</v>
      </c>
      <c r="N19" s="47">
        <v>1866.68</v>
      </c>
      <c r="O19" s="47">
        <v>1337.75</v>
      </c>
      <c r="P19" s="47">
        <v>2213.93</v>
      </c>
      <c r="Q19" s="47">
        <v>3149.16</v>
      </c>
      <c r="R19" s="47">
        <v>3134.1</v>
      </c>
      <c r="S19" s="47">
        <v>3432.07</v>
      </c>
      <c r="T19" s="47">
        <v>3441.76</v>
      </c>
      <c r="U19" s="47">
        <v>4334.14</v>
      </c>
      <c r="V19" s="47">
        <v>3699.11</v>
      </c>
      <c r="W19" s="47">
        <v>2790.71</v>
      </c>
      <c r="X19" s="47">
        <f>B19+C19+D19+E19+F19+G19+H19+I19+J19+K19+L19+M19+N19+O19+P19+Q19+R19+S19+T19+U19+V19+W19</f>
        <v>57141.86</v>
      </c>
    </row>
    <row r="20" spans="1:24" ht="16">
      <c r="A20" s="37" t="s">
        <v>17</v>
      </c>
      <c r="B20" s="46"/>
      <c r="C20" s="46"/>
      <c r="D20" s="47">
        <v>251.0</v>
      </c>
      <c r="E20" s="46"/>
      <c r="F20" s="47">
        <v>7.66</v>
      </c>
      <c r="G20" s="46"/>
      <c r="H20" s="47">
        <v>10.0</v>
      </c>
      <c r="I20" s="46"/>
      <c r="J20" s="47">
        <v>26.4</v>
      </c>
      <c r="K20" s="46"/>
      <c r="L20" s="46"/>
      <c r="M20" s="47">
        <v>20.0</v>
      </c>
      <c r="N20" s="46"/>
      <c r="O20" s="47">
        <v>74.93</v>
      </c>
      <c r="P20" s="46"/>
      <c r="Q20" s="47">
        <v>58.0</v>
      </c>
      <c r="R20" s="46"/>
      <c r="S20" s="47">
        <v>52.8</v>
      </c>
      <c r="T20" s="46"/>
      <c r="U20" s="47">
        <v>58.0</v>
      </c>
      <c r="V20" s="46"/>
      <c r="W20" s="46"/>
      <c r="X20" s="47">
        <f>B20+C20+D20+E20+F20+G20+H20+I20+J20+K20+L20+M20+N20+O20+P20+Q20+R20+S20+T20+U20+V20+W20</f>
        <v>558.79</v>
      </c>
    </row>
    <row r="21" spans="1:24" ht="16">
      <c r="A21" s="37" t="s">
        <v>18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spans="1:24" ht="16">
      <c r="A22" s="39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7">
        <v>1680.11</v>
      </c>
      <c r="U22" s="47">
        <v>1680.11</v>
      </c>
      <c r="V22" s="46"/>
      <c r="W22" s="46"/>
      <c r="X22" s="47">
        <f>B22+C22+D22+E22+F22+G22+H22+I22+J22+K22+L22+M22+N22+O22+P22+Q22+R22+S22+T22+U22+V22+W22</f>
        <v>3360.22</v>
      </c>
    </row>
    <row r="23" spans="1:24" ht="16">
      <c r="A23" s="39" t="s">
        <v>20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7">
        <v>7000.0</v>
      </c>
      <c r="Q23" s="46"/>
      <c r="R23" s="46"/>
      <c r="S23" s="46"/>
      <c r="T23" s="46"/>
      <c r="U23" s="46"/>
      <c r="V23" s="47">
        <v>1093.46</v>
      </c>
      <c r="W23" s="46"/>
      <c r="X23" s="47">
        <f>B23+C23+D23+E23+F23+G23+H23+I23+J23+K23+L23+M23+N23+O23+P23+Q23+R23+S23+T23+U23+V23+W23</f>
        <v>8093.46</v>
      </c>
    </row>
    <row r="24" spans="1:24" ht="16">
      <c r="A24" s="39" t="s">
        <v>21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7">
        <v>30000.0</v>
      </c>
      <c r="W24" s="46"/>
      <c r="X24" s="47">
        <f>B24+C24+D24+E24+F24+G24+H24+I24+J24+K24+L24+M24+N24+O24+P24+Q24+R24+S24+T24+U24+V24+W24</f>
        <v>30000.0</v>
      </c>
    </row>
    <row r="25" spans="1:24" ht="16">
      <c r="A25" s="39" t="s">
        <v>22</v>
      </c>
      <c r="B25" s="46"/>
      <c r="C25" s="46"/>
      <c r="D25" s="46"/>
      <c r="E25" s="47">
        <v>2100.0</v>
      </c>
      <c r="F25" s="46"/>
      <c r="G25" s="46"/>
      <c r="H25" s="46"/>
      <c r="I25" s="47">
        <v>2100.0</v>
      </c>
      <c r="J25" s="46"/>
      <c r="K25" s="46"/>
      <c r="L25" s="46"/>
      <c r="M25" s="47">
        <v>2100.0</v>
      </c>
      <c r="N25" s="46"/>
      <c r="O25" s="46"/>
      <c r="P25" s="46"/>
      <c r="Q25" s="46"/>
      <c r="R25" s="47">
        <v>2100.0</v>
      </c>
      <c r="S25" s="46"/>
      <c r="T25" s="46"/>
      <c r="U25" s="46"/>
      <c r="V25" s="47">
        <v>2100.0</v>
      </c>
      <c r="W25" s="46"/>
      <c r="X25" s="47">
        <f>B25+C25+D25+E25+F25+G25+H25+I25+J25+K25+L25+M25+N25+O25+P25+Q25+R25+S25+T25+U25+V25+W25</f>
        <v>10500.0</v>
      </c>
    </row>
    <row r="26" spans="1:24" ht="16">
      <c r="A26" s="39" t="s">
        <v>23</v>
      </c>
      <c r="B26" s="46"/>
      <c r="C26" s="46"/>
      <c r="D26" s="47">
        <v>2025.49</v>
      </c>
      <c r="E26" s="46"/>
      <c r="F26" s="46"/>
      <c r="G26" s="46"/>
      <c r="H26" s="47">
        <v>2025.49</v>
      </c>
      <c r="I26" s="46"/>
      <c r="J26" s="46"/>
      <c r="K26" s="46"/>
      <c r="L26" s="47">
        <v>2025.49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7">
        <f>B26+C26+D26+E26+F26+G26+H26+I26+J26+K26+L26+M26+N26+O26+P26+Q26+R26+S26+T26+U26+V26+W26</f>
        <v>6076.47</v>
      </c>
    </row>
    <row r="27" spans="1:24" ht="16">
      <c r="A27" s="39" t="s">
        <v>24</v>
      </c>
      <c r="B27" s="46"/>
      <c r="C27" s="46"/>
      <c r="D27" s="47">
        <v>1228.83</v>
      </c>
      <c r="E27" s="46"/>
      <c r="F27" s="46"/>
      <c r="G27" s="46"/>
      <c r="H27" s="46"/>
      <c r="I27" s="47">
        <v>1228.83</v>
      </c>
      <c r="J27" s="46"/>
      <c r="K27" s="46"/>
      <c r="L27" s="46"/>
      <c r="M27" s="47">
        <v>1228.83</v>
      </c>
      <c r="N27" s="46"/>
      <c r="O27" s="46"/>
      <c r="P27" s="46"/>
      <c r="Q27" s="47">
        <v>1228.83</v>
      </c>
      <c r="R27" s="46"/>
      <c r="S27" s="46"/>
      <c r="T27" s="46"/>
      <c r="U27" s="47">
        <v>1228.83</v>
      </c>
      <c r="V27" s="46"/>
      <c r="W27" s="46"/>
      <c r="X27" s="47">
        <f>B27+C27+D27+E27+F27+G27+H27+I27+J27+K27+L27+M27+N27+O27+P27+Q27+R27+S27+T27+U27+V27+W27</f>
        <v>6144.15</v>
      </c>
    </row>
    <row r="28" spans="1:24" ht="16">
      <c r="A28" s="39" t="s">
        <v>25</v>
      </c>
      <c r="B28" s="46"/>
      <c r="C28" s="46"/>
      <c r="D28" s="47">
        <v>1287.92</v>
      </c>
      <c r="E28" s="46"/>
      <c r="F28" s="46"/>
      <c r="G28" s="46"/>
      <c r="H28" s="47">
        <v>1287.92</v>
      </c>
      <c r="I28" s="46"/>
      <c r="J28" s="46"/>
      <c r="K28" s="46"/>
      <c r="L28" s="47">
        <v>1287.92</v>
      </c>
      <c r="M28" s="46"/>
      <c r="N28" s="46"/>
      <c r="O28" s="46"/>
      <c r="P28" s="46"/>
      <c r="Q28" s="47">
        <v>1287.92</v>
      </c>
      <c r="R28" s="46"/>
      <c r="S28" s="46"/>
      <c r="T28" s="46"/>
      <c r="U28" s="47">
        <v>1287.92</v>
      </c>
      <c r="V28" s="46"/>
      <c r="W28" s="46"/>
      <c r="X28" s="47">
        <f>B28+C28+D28+E28+F28+G28+H28+I28+J28+K28+L28+M28+N28+O28+P28+Q28+R28+S28+T28+U28+V28+W28</f>
        <v>6439.6</v>
      </c>
    </row>
    <row r="29" spans="1:24" ht="16">
      <c r="A29" s="39" t="s">
        <v>26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>
        <v>4345.09</v>
      </c>
      <c r="S29" s="46"/>
      <c r="T29" s="46"/>
      <c r="U29" s="46"/>
      <c r="V29" s="46"/>
      <c r="W29" s="47">
        <v>665.67</v>
      </c>
      <c r="X29" s="47">
        <f>B29+C29+D29+E29+F29+G29+H29+I29+J29+K29+L29+M29+N29+O29+P29+Q29+R29+S29+T29+U29+V29+W29</f>
        <v>5010.76</v>
      </c>
    </row>
    <row r="30" spans="1:24" ht="16">
      <c r="A30" s="40" t="s">
        <v>27</v>
      </c>
      <c r="B30" s="49">
        <f>B21+B22+B23+B24+B25+B26+B27+B28+B29</f>
        <v>0.0</v>
      </c>
      <c r="C30" s="49">
        <f>C21+C22+C23+C24+C25+C26+C27+C28+C29</f>
        <v>0.0</v>
      </c>
      <c r="D30" s="48">
        <f>D21+D22+D23+D24+D25+D26+D27+D28+D29</f>
        <v>4542.24</v>
      </c>
      <c r="E30" s="48">
        <f>E21+E22+E23+E24+E25+E26+E27+E28+E29</f>
        <v>2100.0</v>
      </c>
      <c r="F30" s="49">
        <f>F21+F22+F23+F24+F25+F26+F27+F28+F29</f>
        <v>0.0</v>
      </c>
      <c r="G30" s="49">
        <f>G21+G22+G23+G24+G25+G26+G27+G28+G29</f>
        <v>0.0</v>
      </c>
      <c r="H30" s="48">
        <f>H21+H22+H23+H24+H25+H26+H27+H28+H29</f>
        <v>3313.41</v>
      </c>
      <c r="I30" s="48">
        <f>I21+I22+I23+I24+I25+I26+I27+I28+I29</f>
        <v>3328.83</v>
      </c>
      <c r="J30" s="49">
        <f>J21+J22+J23+J24+J25+J26+J27+J28+J29</f>
        <v>0.0</v>
      </c>
      <c r="K30" s="49">
        <f>K21+K22+K23+K24+K25+K26+K27+K28+K29</f>
        <v>0.0</v>
      </c>
      <c r="L30" s="48">
        <f>L21+L22+L23+L24+L25+L26+L27+L28+L29</f>
        <v>3313.41</v>
      </c>
      <c r="M30" s="48">
        <f>M21+M22+M23+M24+M25+M26+M27+M28+M29</f>
        <v>3328.83</v>
      </c>
      <c r="N30" s="49">
        <f>N21+N22+N23+N24+N25+N26+N27+N28+N29</f>
        <v>0.0</v>
      </c>
      <c r="O30" s="49">
        <f>O21+O22+O23+O24+O25+O26+O27+O28+O29</f>
        <v>0.0</v>
      </c>
      <c r="P30" s="48">
        <f>P21+P22+P23+P24+P25+P26+P27+P28+P29</f>
        <v>7000.0</v>
      </c>
      <c r="Q30" s="48">
        <f>Q21+Q22+Q23+Q24+Q25+Q26+Q27+Q28+Q29</f>
        <v>2516.75</v>
      </c>
      <c r="R30" s="48">
        <f>R21+R22+R23+R24+R25+R26+R27+R28+R29</f>
        <v>6445.09</v>
      </c>
      <c r="S30" s="49">
        <f>S21+S22+S23+S24+S25+S26+S27+S28+S29</f>
        <v>0.0</v>
      </c>
      <c r="T30" s="48">
        <f>T21+T22+T23+T24+T25+T26+T27+T28+T29</f>
        <v>1680.11</v>
      </c>
      <c r="U30" s="48">
        <f>U21+U22+U23+U24+U25+U26+U27+U28+U29</f>
        <v>4196.86</v>
      </c>
      <c r="V30" s="48">
        <f>V21+V22+V23+V24+V25+V26+V27+V28+V29</f>
        <v>33193.46</v>
      </c>
      <c r="W30" s="48">
        <f>W21+W22+W23+W24+W25+W26+W27+W28+W29</f>
        <v>665.67</v>
      </c>
      <c r="X30" s="49">
        <f>B30+C30+D30+E30+F30+G30+H30+I30+J30+K30+L30+M30+N30+O30+P30+Q30+R30+S30+T30+U30+V30+W30</f>
        <v>75624.65999999999</v>
      </c>
    </row>
    <row r="31" spans="1:24" ht="16">
      <c r="A31" s="37" t="s">
        <v>28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spans="1:24" ht="16">
      <c r="A32" s="39" t="s">
        <v>29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>
        <v>3000.0</v>
      </c>
      <c r="P32" s="46"/>
      <c r="Q32" s="46"/>
      <c r="R32" s="46"/>
      <c r="S32" s="47">
        <v>3000.0</v>
      </c>
      <c r="T32" s="46"/>
      <c r="U32" s="46"/>
      <c r="V32" s="46"/>
      <c r="W32" s="46"/>
      <c r="X32" s="47">
        <f>B32+C32+D32+E32+F32+G32+H32+I32+J32+K32+L32+M32+N32+O32+P32+Q32+R32+S32+T32+U32+V32+W32</f>
        <v>6000.0</v>
      </c>
    </row>
    <row r="33" spans="1:24" ht="16">
      <c r="A33" s="39" t="s">
        <v>30</v>
      </c>
      <c r="B33" s="46"/>
      <c r="C33" s="46"/>
      <c r="D33" s="46"/>
      <c r="E33" s="47">
        <v>3000.0</v>
      </c>
      <c r="F33" s="46"/>
      <c r="G33" s="46"/>
      <c r="H33" s="46"/>
      <c r="I33" s="47">
        <v>3000.0</v>
      </c>
      <c r="J33" s="46"/>
      <c r="K33" s="46"/>
      <c r="L33" s="46"/>
      <c r="M33" s="47">
        <v>3000.0</v>
      </c>
      <c r="N33" s="46"/>
      <c r="O33" s="46"/>
      <c r="P33" s="46"/>
      <c r="Q33" s="47">
        <v>3000.0</v>
      </c>
      <c r="R33" s="46"/>
      <c r="S33" s="46"/>
      <c r="T33" s="46"/>
      <c r="U33" s="46"/>
      <c r="V33" s="47">
        <v>3000.0</v>
      </c>
      <c r="W33" s="46"/>
      <c r="X33" s="47">
        <f>B33+C33+D33+E33+F33+G33+H33+I33+J33+K33+L33+M33+N33+O33+P33+Q33+R33+S33+T33+U33+V33+W33</f>
        <v>15000.0</v>
      </c>
    </row>
    <row r="34" spans="1:24" ht="16">
      <c r="A34" s="39" t="s">
        <v>31</v>
      </c>
      <c r="B34" s="46"/>
      <c r="C34" s="47">
        <v>40000.0</v>
      </c>
      <c r="D34" s="46"/>
      <c r="E34" s="46"/>
      <c r="F34" s="47">
        <v>6500.0</v>
      </c>
      <c r="G34" s="46"/>
      <c r="H34" s="46"/>
      <c r="I34" s="46"/>
      <c r="J34" s="47">
        <v>6500.0</v>
      </c>
      <c r="K34" s="46"/>
      <c r="L34" s="46"/>
      <c r="M34" s="46"/>
      <c r="N34" s="46"/>
      <c r="O34" s="47">
        <v>6500.0</v>
      </c>
      <c r="P34" s="46"/>
      <c r="Q34" s="46"/>
      <c r="R34" s="46"/>
      <c r="S34" s="47">
        <v>6500.0</v>
      </c>
      <c r="T34" s="46"/>
      <c r="U34" s="46"/>
      <c r="V34" s="46"/>
      <c r="W34" s="47">
        <v>6500.0</v>
      </c>
      <c r="X34" s="47">
        <f>B34+C34+D34+E34+F34+G34+H34+I34+J34+K34+L34+M34+N34+O34+P34+Q34+R34+S34+T34+U34+V34+W34</f>
        <v>72500.0</v>
      </c>
    </row>
    <row r="35" spans="1:24" ht="16">
      <c r="A35" s="40" t="s">
        <v>32</v>
      </c>
      <c r="B35" s="49">
        <f>B31+B32+B33+B34</f>
        <v>0.0</v>
      </c>
      <c r="C35" s="48">
        <f>C31+C32+C33+C34</f>
        <v>40000.0</v>
      </c>
      <c r="D35" s="49">
        <f>D31+D32+D33+D34</f>
        <v>0.0</v>
      </c>
      <c r="E35" s="48">
        <f>E31+E32+E33+E34</f>
        <v>3000.0</v>
      </c>
      <c r="F35" s="48">
        <f>F31+F32+F33+F34</f>
        <v>6500.0</v>
      </c>
      <c r="G35" s="49">
        <f>G31+G32+G33+G34</f>
        <v>0.0</v>
      </c>
      <c r="H35" s="49">
        <f>H31+H32+H33+H34</f>
        <v>0.0</v>
      </c>
      <c r="I35" s="48">
        <f>I31+I32+I33+I34</f>
        <v>3000.0</v>
      </c>
      <c r="J35" s="48">
        <f>J31+J32+J33+J34</f>
        <v>6500.0</v>
      </c>
      <c r="K35" s="49">
        <f>K31+K32+K33+K34</f>
        <v>0.0</v>
      </c>
      <c r="L35" s="49">
        <f>L31+L32+L33+L34</f>
        <v>0.0</v>
      </c>
      <c r="M35" s="48">
        <f>M31+M32+M33+M34</f>
        <v>3000.0</v>
      </c>
      <c r="N35" s="49">
        <f>N31+N32+N33+N34</f>
        <v>0.0</v>
      </c>
      <c r="O35" s="48">
        <f>O31+O32+O33+O34</f>
        <v>9500.0</v>
      </c>
      <c r="P35" s="49">
        <f>P31+P32+P33+P34</f>
        <v>0.0</v>
      </c>
      <c r="Q35" s="48">
        <f>Q31+Q32+Q33+Q34</f>
        <v>3000.0</v>
      </c>
      <c r="R35" s="49">
        <f>R31+R32+R33+R34</f>
        <v>0.0</v>
      </c>
      <c r="S35" s="48">
        <f>S31+S32+S33+S34</f>
        <v>9500.0</v>
      </c>
      <c r="T35" s="49">
        <f>T31+T32+T33+T34</f>
        <v>0.0</v>
      </c>
      <c r="U35" s="49">
        <f>U31+U32+U33+U34</f>
        <v>0.0</v>
      </c>
      <c r="V35" s="48">
        <f>V31+V32+V33+V34</f>
        <v>3000.0</v>
      </c>
      <c r="W35" s="48">
        <f>W31+W32+W33+W34</f>
        <v>6500.0</v>
      </c>
      <c r="X35" s="49">
        <f>B35+C35+D35+E35+F35+G35+H35+I35+J35+K35+L35+M35+N35+O35+P35+Q35+R35+S35+T35+U35+V35+W35</f>
        <v>93500.0</v>
      </c>
    </row>
    <row r="36" spans="1:24" ht="16">
      <c r="A36" s="37" t="s">
        <v>33</v>
      </c>
      <c r="B36" s="47">
        <v>164.95</v>
      </c>
      <c r="C36" s="47">
        <v>1379.62</v>
      </c>
      <c r="D36" s="47">
        <v>524.59</v>
      </c>
      <c r="E36" s="47">
        <v>165.0</v>
      </c>
      <c r="F36" s="47">
        <v>201.96</v>
      </c>
      <c r="G36" s="47">
        <v>1045.67</v>
      </c>
      <c r="H36" s="47">
        <v>226.86</v>
      </c>
      <c r="I36" s="47">
        <v>140.0</v>
      </c>
      <c r="J36" s="47">
        <v>188.55</v>
      </c>
      <c r="K36" s="47">
        <v>1464.9</v>
      </c>
      <c r="L36" s="47">
        <v>68.7</v>
      </c>
      <c r="M36" s="47">
        <v>81.48</v>
      </c>
      <c r="N36" s="47">
        <v>117.93</v>
      </c>
      <c r="O36" s="47">
        <v>1482.93</v>
      </c>
      <c r="P36" s="47">
        <v>77.0</v>
      </c>
      <c r="Q36" s="47">
        <v>72.5</v>
      </c>
      <c r="R36" s="47">
        <v>50.0</v>
      </c>
      <c r="S36" s="47">
        <v>-5229.85</v>
      </c>
      <c r="T36" s="47">
        <v>968.35</v>
      </c>
      <c r="U36" s="47">
        <v>119.5</v>
      </c>
      <c r="V36" s="47">
        <v>124.0</v>
      </c>
      <c r="W36" s="47">
        <v>128.5</v>
      </c>
      <c r="X36" s="47">
        <f>B36+C36+D36+E36+F36+G36+H36+I36+J36+K36+L36+M36+N36+O36+P36+Q36+R36+S36+T36+U36+V36+W36</f>
        <v>3563.14</v>
      </c>
    </row>
    <row r="37" spans="1:24" ht="16">
      <c r="A37" s="37" t="s">
        <v>34</v>
      </c>
      <c r="B37" s="46"/>
      <c r="C37" s="46"/>
      <c r="D37" s="46"/>
      <c r="E37" s="46"/>
      <c r="F37" s="46"/>
      <c r="G37" s="47">
        <v>650.0</v>
      </c>
      <c r="H37" s="46"/>
      <c r="I37" s="46"/>
      <c r="J37" s="46"/>
      <c r="K37" s="46"/>
      <c r="L37" s="46"/>
      <c r="M37" s="46"/>
      <c r="N37" s="46"/>
      <c r="O37" s="46"/>
      <c r="P37" s="47">
        <v>500.0</v>
      </c>
      <c r="Q37" s="46"/>
      <c r="R37" s="47">
        <v>250.0</v>
      </c>
      <c r="S37" s="46"/>
      <c r="T37" s="46"/>
      <c r="U37" s="46"/>
      <c r="V37" s="46"/>
      <c r="W37" s="46"/>
      <c r="X37" s="47">
        <f>B37+C37+D37+E37+F37+G37+H37+I37+J37+K37+L37+M37+N37+O37+P37+Q37+R37+S37+T37+U37+V37+W37</f>
        <v>1400.0</v>
      </c>
    </row>
    <row r="38" spans="1:24" ht="16">
      <c r="A38" s="37" t="s">
        <v>35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spans="1:24" ht="16">
      <c r="A39" s="39" t="s">
        <v>36</v>
      </c>
      <c r="B39" s="46"/>
      <c r="C39" s="46"/>
      <c r="D39" s="46"/>
      <c r="E39" s="46"/>
      <c r="F39" s="47">
        <v>620.0</v>
      </c>
      <c r="G39" s="46"/>
      <c r="H39" s="46"/>
      <c r="I39" s="46"/>
      <c r="J39" s="47">
        <v>613.25</v>
      </c>
      <c r="K39" s="46"/>
      <c r="L39" s="46"/>
      <c r="M39" s="47">
        <v>1147.5</v>
      </c>
      <c r="N39" s="46"/>
      <c r="O39" s="46"/>
      <c r="P39" s="46"/>
      <c r="Q39" s="47">
        <v>1925.0</v>
      </c>
      <c r="R39" s="46"/>
      <c r="S39" s="46"/>
      <c r="T39" s="46"/>
      <c r="U39" s="47">
        <v>2041.31</v>
      </c>
      <c r="V39" s="46"/>
      <c r="W39" s="47">
        <v>2041.31</v>
      </c>
      <c r="X39" s="47">
        <f>B39+C39+D39+E39+F39+G39+H39+I39+J39+K39+L39+M39+N39+O39+P39+Q39+R39+S39+T39+U39+V39+W39</f>
        <v>8388.369999999999</v>
      </c>
    </row>
    <row r="40" spans="1:24" ht="16">
      <c r="A40" s="39" t="s">
        <v>37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7">
        <v>825.0</v>
      </c>
      <c r="P40" s="46"/>
      <c r="Q40" s="46"/>
      <c r="R40" s="46"/>
      <c r="S40" s="46"/>
      <c r="T40" s="46"/>
      <c r="U40" s="47">
        <v>188.64</v>
      </c>
      <c r="V40" s="46"/>
      <c r="W40" s="46"/>
      <c r="X40" s="47">
        <f>B40+C40+D40+E40+F40+G40+H40+I40+J40+K40+L40+M40+N40+O40+P40+Q40+R40+S40+T40+U40+V40+W40</f>
        <v>1013.64</v>
      </c>
    </row>
    <row r="41" spans="1:24" ht="16">
      <c r="A41" s="39" t="s">
        <v>38</v>
      </c>
      <c r="B41" s="46"/>
      <c r="C41" s="47">
        <v>1000.0</v>
      </c>
      <c r="D41" s="47">
        <v>1000.0</v>
      </c>
      <c r="E41" s="47">
        <v>1000.0</v>
      </c>
      <c r="F41" s="47">
        <v>1000.0</v>
      </c>
      <c r="G41" s="47">
        <v>1000.0</v>
      </c>
      <c r="H41" s="47">
        <v>1000.0</v>
      </c>
      <c r="I41" s="47">
        <v>1000.0</v>
      </c>
      <c r="J41" s="47">
        <v>1000.0</v>
      </c>
      <c r="K41" s="47">
        <v>1000.0</v>
      </c>
      <c r="L41" s="47">
        <v>1000.0</v>
      </c>
      <c r="M41" s="47">
        <v>1000.0</v>
      </c>
      <c r="N41" s="47">
        <v>1000.0</v>
      </c>
      <c r="O41" s="47">
        <v>1000.0</v>
      </c>
      <c r="P41" s="47">
        <v>1000.0</v>
      </c>
      <c r="Q41" s="47">
        <v>1000.0</v>
      </c>
      <c r="R41" s="47">
        <v>1000.0</v>
      </c>
      <c r="S41" s="47">
        <v>1000.0</v>
      </c>
      <c r="T41" s="47">
        <v>1000.0</v>
      </c>
      <c r="U41" s="47">
        <v>1000.0</v>
      </c>
      <c r="V41" s="47">
        <v>1000.0</v>
      </c>
      <c r="W41" s="47">
        <v>1000.0</v>
      </c>
      <c r="X41" s="47">
        <f>B41+C41+D41+E41+F41+G41+H41+I41+J41+K41+L41+M41+N41+O41+P41+Q41+R41+S41+T41+U41+V41+W41</f>
        <v>21000.0</v>
      </c>
    </row>
    <row r="42" spans="1:24" ht="16">
      <c r="A42" s="39" t="s">
        <v>39</v>
      </c>
      <c r="B42" s="46"/>
      <c r="C42" s="47">
        <v>523.11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7">
        <f>B42+C42+D42+E42+F42+G42+H42+I42+J42+K42+L42+M42+N42+O42+P42+Q42+R42+S42+T42+U42+V42+W42</f>
        <v>523.11</v>
      </c>
    </row>
    <row r="43" spans="1:24" ht="16">
      <c r="A43" s="39" t="s">
        <v>40</v>
      </c>
      <c r="B43" s="46"/>
      <c r="C43" s="46"/>
      <c r="D43" s="46"/>
      <c r="E43" s="47">
        <v>2190.0</v>
      </c>
      <c r="F43" s="46"/>
      <c r="G43" s="47">
        <v>2200.0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7">
        <v>2200.0</v>
      </c>
      <c r="T43" s="46"/>
      <c r="U43" s="46"/>
      <c r="V43" s="46"/>
      <c r="W43" s="46"/>
      <c r="X43" s="47">
        <f>B43+C43+D43+E43+F43+G43+H43+I43+J43+K43+L43+M43+N43+O43+P43+Q43+R43+S43+T43+U43+V43+W43</f>
        <v>6590.0</v>
      </c>
    </row>
    <row r="44" spans="1:24" ht="16">
      <c r="A44" s="39" t="s">
        <v>41</v>
      </c>
      <c r="B44" s="46"/>
      <c r="C44" s="46"/>
      <c r="D44" s="46"/>
      <c r="E44" s="47">
        <v>195.86</v>
      </c>
      <c r="F44" s="46"/>
      <c r="G44" s="46"/>
      <c r="H44" s="46"/>
      <c r="I44" s="47">
        <v>188.64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7">
        <f>B44+C44+D44+E44+F44+G44+H44+I44+J44+K44+L44+M44+N44+O44+P44+Q44+R44+S44+T44+U44+V44+W44</f>
        <v>384.5</v>
      </c>
    </row>
    <row r="45" spans="1:24" ht="16">
      <c r="A45" s="39" t="s">
        <v>42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>
        <v>6810.0</v>
      </c>
      <c r="O45" s="46"/>
      <c r="P45" s="47">
        <v>6810.24</v>
      </c>
      <c r="Q45" s="46"/>
      <c r="R45" s="46"/>
      <c r="S45" s="46"/>
      <c r="T45" s="46"/>
      <c r="U45" s="46"/>
      <c r="V45" s="46"/>
      <c r="W45" s="46"/>
      <c r="X45" s="47">
        <f>B45+C45+D45+E45+F45+G45+H45+I45+J45+K45+L45+M45+N45+O45+P45+Q45+R45+S45+T45+U45+V45+W45</f>
        <v>13620.24</v>
      </c>
    </row>
    <row r="46" spans="1:24" ht="16">
      <c r="A46" s="39" t="s">
        <v>43</v>
      </c>
      <c r="B46" s="46"/>
      <c r="C46" s="47">
        <v>2200.0</v>
      </c>
      <c r="D46" s="47">
        <v>3200.0</v>
      </c>
      <c r="E46" s="47">
        <v>1157.5</v>
      </c>
      <c r="F46" s="47">
        <v>1157.5</v>
      </c>
      <c r="G46" s="47">
        <v>2250.0</v>
      </c>
      <c r="H46" s="47">
        <v>3750.0</v>
      </c>
      <c r="I46" s="47">
        <v>1850.0</v>
      </c>
      <c r="J46" s="47">
        <v>1850.0</v>
      </c>
      <c r="K46" s="47">
        <v>1850.0</v>
      </c>
      <c r="L46" s="47">
        <v>3850.0</v>
      </c>
      <c r="M46" s="47">
        <v>1850.0</v>
      </c>
      <c r="N46" s="47">
        <v>1850.0</v>
      </c>
      <c r="O46" s="47">
        <v>1850.0</v>
      </c>
      <c r="P46" s="47">
        <v>1850.0</v>
      </c>
      <c r="Q46" s="47">
        <v>7278.0</v>
      </c>
      <c r="R46" s="46"/>
      <c r="S46" s="47">
        <v>4400.0</v>
      </c>
      <c r="T46" s="46"/>
      <c r="U46" s="47">
        <v>5655.0</v>
      </c>
      <c r="V46" s="46"/>
      <c r="W46" s="47">
        <v>4166.0</v>
      </c>
      <c r="X46" s="47">
        <f>B46+C46+D46+E46+F46+G46+H46+I46+J46+K46+L46+M46+N46+O46+P46+Q46+R46+S46+T46+U46+V46+W46</f>
        <v>52014.0</v>
      </c>
    </row>
    <row r="47" spans="1:24" ht="16">
      <c r="A47" s="39" t="s">
        <v>44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>
        <v>10000.0</v>
      </c>
      <c r="R47" s="46"/>
      <c r="S47" s="47">
        <v>12000.0</v>
      </c>
      <c r="T47" s="46"/>
      <c r="U47" s="46"/>
      <c r="V47" s="47">
        <v>10000.0</v>
      </c>
      <c r="W47" s="46"/>
      <c r="X47" s="47">
        <f>B47+C47+D47+E47+F47+G47+H47+I47+J47+K47+L47+M47+N47+O47+P47+Q47+R47+S47+T47+U47+V47+W47</f>
        <v>32000.0</v>
      </c>
    </row>
    <row r="48" spans="1:24" ht="16">
      <c r="A48" s="39" t="s">
        <v>45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spans="1:24" ht="16">
      <c r="A49" s="41" t="s">
        <v>46</v>
      </c>
      <c r="B49" s="46"/>
      <c r="C49" s="47">
        <v>2854.98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7">
        <f>B49+C49+D49+E49+F49+G49+H49+I49+J49+K49+L49+M49+N49+O49+P49+Q49+R49+S49+T49+U49+V49+W49</f>
        <v>2854.98</v>
      </c>
    </row>
    <row r="50" spans="1:24" ht="16">
      <c r="A50" s="41" t="s">
        <v>47</v>
      </c>
      <c r="B50" s="46"/>
      <c r="C50" s="47">
        <v>1031.19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7">
        <f>B50+C50+D50+E50+F50+G50+H50+I50+J50+K50+L50+M50+N50+O50+P50+Q50+R50+S50+T50+U50+V50+W50</f>
        <v>1031.19</v>
      </c>
    </row>
    <row r="51" spans="1:24" ht="16">
      <c r="A51" s="41" t="s">
        <v>48</v>
      </c>
      <c r="B51" s="46"/>
      <c r="C51" s="47">
        <v>64.0</v>
      </c>
      <c r="D51" s="47">
        <v>150.13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7">
        <f>B51+C51+D51+E51+F51+G51+H51+I51+J51+K51+L51+M51+N51+O51+P51+Q51+R51+S51+T51+U51+V51+W51</f>
        <v>214.13</v>
      </c>
    </row>
    <row r="52" spans="1:24" ht="16">
      <c r="A52" s="42" t="s">
        <v>49</v>
      </c>
      <c r="B52" s="49">
        <f>B48+B49+B50+B51</f>
        <v>0.0</v>
      </c>
      <c r="C52" s="48">
        <f>C48+C49+C50+C51</f>
        <v>3950.17</v>
      </c>
      <c r="D52" s="48">
        <f>D48+D49+D50+D51</f>
        <v>150.13</v>
      </c>
      <c r="E52" s="49">
        <f>E48+E49+E50+E51</f>
        <v>0.0</v>
      </c>
      <c r="F52" s="49">
        <f>F48+F49+F50+F51</f>
        <v>0.0</v>
      </c>
      <c r="G52" s="49">
        <f>G48+G49+G50+G51</f>
        <v>0.0</v>
      </c>
      <c r="H52" s="49">
        <f>H48+H49+H50+H51</f>
        <v>0.0</v>
      </c>
      <c r="I52" s="49">
        <f>I48+I49+I50+I51</f>
        <v>0.0</v>
      </c>
      <c r="J52" s="49">
        <f>J48+J49+J50+J51</f>
        <v>0.0</v>
      </c>
      <c r="K52" s="49">
        <f>K48+K49+K50+K51</f>
        <v>0.0</v>
      </c>
      <c r="L52" s="49">
        <f>L48+L49+L50+L51</f>
        <v>0.0</v>
      </c>
      <c r="M52" s="49">
        <f>M48+M49+M50+M51</f>
        <v>0.0</v>
      </c>
      <c r="N52" s="49">
        <f>N48+N49+N50+N51</f>
        <v>0.0</v>
      </c>
      <c r="O52" s="49">
        <f>O48+O49+O50+O51</f>
        <v>0.0</v>
      </c>
      <c r="P52" s="49">
        <f>P48+P49+P50+P51</f>
        <v>0.0</v>
      </c>
      <c r="Q52" s="49">
        <f>Q48+Q49+Q50+Q51</f>
        <v>0.0</v>
      </c>
      <c r="R52" s="49">
        <f>R48+R49+R50+R51</f>
        <v>0.0</v>
      </c>
      <c r="S52" s="49">
        <f>S48+S49+S50+S51</f>
        <v>0.0</v>
      </c>
      <c r="T52" s="49">
        <f>T48+T49+T50+T51</f>
        <v>0.0</v>
      </c>
      <c r="U52" s="49">
        <f>U48+U49+U50+U51</f>
        <v>0.0</v>
      </c>
      <c r="V52" s="49">
        <f>V48+V49+V50+V51</f>
        <v>0.0</v>
      </c>
      <c r="W52" s="49">
        <f>W48+W49+W50+W51</f>
        <v>0.0</v>
      </c>
      <c r="X52" s="49">
        <f>B52+C52+D52+E52+F52+G52+H52+I52+J52+K52+L52+M52+N52+O52+P52+Q52+R52+S52+T52+U52+V52+W52</f>
        <v>4100.3</v>
      </c>
    </row>
    <row r="53" spans="1:24" ht="16">
      <c r="A53" s="39" t="s">
        <v>50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7">
        <v>250.0</v>
      </c>
      <c r="T53" s="46"/>
      <c r="U53" s="47">
        <v>895.0</v>
      </c>
      <c r="V53" s="46"/>
      <c r="W53" s="46"/>
      <c r="X53" s="47">
        <f>B53+C53+D53+E53+F53+G53+H53+I53+J53+K53+L53+M53+N53+O53+P53+Q53+R53+S53+T53+U53+V53+W53</f>
        <v>1145.0</v>
      </c>
    </row>
    <row r="54" spans="1:24" ht="16">
      <c r="A54" s="40" t="s">
        <v>51</v>
      </c>
      <c r="B54" s="49">
        <f>B38+B39+B40+B41+B42+B43+B44+B45+B46+B47+B52+B53</f>
        <v>0.0</v>
      </c>
      <c r="C54" s="48">
        <f>C38+C39+C40+C41+C42+C43+C44+C45+C46+C47+C52+C53</f>
        <v>7673.280000000001</v>
      </c>
      <c r="D54" s="48">
        <f>D38+D39+D40+D41+D42+D43+D44+D45+D46+D47+D52+D53</f>
        <v>4350.13</v>
      </c>
      <c r="E54" s="48">
        <f>E38+E39+E40+E41+E42+E43+E44+E45+E46+E47+E52+E53</f>
        <v>4543.360000000001</v>
      </c>
      <c r="F54" s="48">
        <f>F38+F39+F40+F41+F42+F43+F44+F45+F46+F47+F52+F53</f>
        <v>2777.5</v>
      </c>
      <c r="G54" s="48">
        <f>G38+G39+G40+G41+G42+G43+G44+G45+G46+G47+G52+G53</f>
        <v>5450.0</v>
      </c>
      <c r="H54" s="48">
        <f>H38+H39+H40+H41+H42+H43+H44+H45+H46+H47+H52+H53</f>
        <v>4750.0</v>
      </c>
      <c r="I54" s="48">
        <f>I38+I39+I40+I41+I42+I43+I44+I45+I46+I47+I52+I53</f>
        <v>3038.64</v>
      </c>
      <c r="J54" s="48">
        <f>J38+J39+J40+J41+J42+J43+J44+J45+J46+J47+J52+J53</f>
        <v>3463.25</v>
      </c>
      <c r="K54" s="48">
        <f>K38+K39+K40+K41+K42+K43+K44+K45+K46+K47+K52+K53</f>
        <v>2850.0</v>
      </c>
      <c r="L54" s="48">
        <f>L38+L39+L40+L41+L42+L43+L44+L45+L46+L47+L52+L53</f>
        <v>4850.0</v>
      </c>
      <c r="M54" s="48">
        <f>M38+M39+M40+M41+M42+M43+M44+M45+M46+M47+M52+M53</f>
        <v>3997.5</v>
      </c>
      <c r="N54" s="48">
        <f>N38+N39+N40+N41+N42+N43+N44+N45+N46+N47+N52+N53</f>
        <v>9660.0</v>
      </c>
      <c r="O54" s="48">
        <f>O38+O39+O40+O41+O42+O43+O44+O45+O46+O47+O52+O53</f>
        <v>3675.0</v>
      </c>
      <c r="P54" s="48">
        <f>P38+P39+P40+P41+P42+P43+P44+P45+P46+P47+P52+P53</f>
        <v>9660.24</v>
      </c>
      <c r="Q54" s="48">
        <f>Q38+Q39+Q40+Q41+Q42+Q43+Q44+Q45+Q46+Q47+Q52+Q53</f>
        <v>20203.0</v>
      </c>
      <c r="R54" s="48">
        <f>R38+R39+R40+R41+R42+R43+R44+R45+R46+R47+R52+R53</f>
        <v>1000.0</v>
      </c>
      <c r="S54" s="48">
        <f>S38+S39+S40+S41+S42+S43+S44+S45+S46+S47+S52+S53</f>
        <v>19850.0</v>
      </c>
      <c r="T54" s="48">
        <f>T38+T39+T40+T41+T42+T43+T44+T45+T46+T47+T52+T53</f>
        <v>1000.0</v>
      </c>
      <c r="U54" s="48">
        <f>U38+U39+U40+U41+U42+U43+U44+U45+U46+U47+U52+U53</f>
        <v>9779.95</v>
      </c>
      <c r="V54" s="48">
        <f>V38+V39+V40+V41+V42+V43+V44+V45+V46+V47+V52+V53</f>
        <v>11000.0</v>
      </c>
      <c r="W54" s="48">
        <f>W38+W39+W40+W41+W42+W43+W44+W45+W46+W47+W52+W53</f>
        <v>7207.3099999999995</v>
      </c>
      <c r="X54" s="49">
        <f>B54+C54+D54+E54+F54+G54+H54+I54+J54+K54+L54+M54+N54+O54+P54+Q54+R54+S54+T54+U54+V54+W54</f>
        <v>140779.16</v>
      </c>
    </row>
    <row r="55" spans="1:24" ht="16">
      <c r="A55" s="37" t="s">
        <v>52</v>
      </c>
      <c r="B55" s="47">
        <v>73.75</v>
      </c>
      <c r="C55" s="47">
        <v>93.75</v>
      </c>
      <c r="D55" s="47">
        <v>88.5</v>
      </c>
      <c r="E55" s="47">
        <v>44.25</v>
      </c>
      <c r="F55" s="47">
        <v>137.75</v>
      </c>
      <c r="G55" s="47">
        <v>14.75</v>
      </c>
      <c r="H55" s="47">
        <v>29.5</v>
      </c>
      <c r="I55" s="47">
        <v>59.0</v>
      </c>
      <c r="J55" s="47">
        <v>265.75</v>
      </c>
      <c r="K55" s="47">
        <v>325.0</v>
      </c>
      <c r="L55" s="47">
        <v>113.25</v>
      </c>
      <c r="M55" s="47">
        <v>369.0</v>
      </c>
      <c r="N55" s="47">
        <v>157.5</v>
      </c>
      <c r="O55" s="47">
        <v>142.75</v>
      </c>
      <c r="P55" s="47">
        <v>344.75</v>
      </c>
      <c r="Q55" s="47">
        <v>246.0</v>
      </c>
      <c r="R55" s="47">
        <v>211.5</v>
      </c>
      <c r="S55" s="47">
        <v>85.0</v>
      </c>
      <c r="T55" s="47">
        <v>183.5</v>
      </c>
      <c r="U55" s="47">
        <v>199.25</v>
      </c>
      <c r="V55" s="47">
        <v>96.75</v>
      </c>
      <c r="W55" s="47">
        <v>193.5</v>
      </c>
      <c r="X55" s="47">
        <f>B55+C55+D55+E55+F55+G55+H55+I55+J55+K55+L55+M55+N55+O55+P55+Q55+R55+S55+T55+U55+V55+W55</f>
        <v>3474.75</v>
      </c>
    </row>
    <row r="56" spans="1:24" ht="16">
      <c r="A56" s="37" t="s">
        <v>53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7">
        <v>13.35</v>
      </c>
      <c r="S56" s="47">
        <v>26.41</v>
      </c>
      <c r="T56" s="47">
        <v>60.43</v>
      </c>
      <c r="U56" s="47">
        <v>40.37</v>
      </c>
      <c r="V56" s="47">
        <v>40.39</v>
      </c>
      <c r="W56" s="47">
        <v>22.96</v>
      </c>
      <c r="X56" s="47">
        <f>B56+C56+D56+E56+F56+G56+H56+I56+J56+K56+L56+M56+N56+O56+P56+Q56+R56+S56+T56+U56+V56+W56</f>
        <v>203.91</v>
      </c>
    </row>
    <row r="57" spans="1:24" ht="16">
      <c r="A57" s="37" t="s">
        <v>54</v>
      </c>
      <c r="B57" s="46"/>
      <c r="C57" s="47">
        <v>1432.58</v>
      </c>
      <c r="D57" s="46"/>
      <c r="E57" s="46"/>
      <c r="F57" s="46"/>
      <c r="G57" s="47">
        <v>123.0</v>
      </c>
      <c r="H57" s="46"/>
      <c r="I57" s="46"/>
      <c r="J57" s="46"/>
      <c r="K57" s="47">
        <v>613.13</v>
      </c>
      <c r="L57" s="46"/>
      <c r="M57" s="46"/>
      <c r="N57" s="46"/>
      <c r="O57" s="47">
        <v>59.04</v>
      </c>
      <c r="P57" s="47">
        <v>197.71</v>
      </c>
      <c r="Q57" s="47">
        <v>328.42</v>
      </c>
      <c r="R57" s="46"/>
      <c r="S57" s="47">
        <v>586.77</v>
      </c>
      <c r="T57" s="46"/>
      <c r="U57" s="46"/>
      <c r="V57" s="46"/>
      <c r="W57" s="47">
        <v>20000.0</v>
      </c>
      <c r="X57" s="47">
        <f>B57+C57+D57+E57+F57+G57+H57+I57+J57+K57+L57+M57+N57+O57+P57+Q57+R57+S57+T57+U57+V57+W57</f>
        <v>23340.65</v>
      </c>
    </row>
    <row r="58" spans="1:24" ht="16">
      <c r="A58" s="37" t="s">
        <v>55</v>
      </c>
      <c r="B58" s="47">
        <v>2595.88</v>
      </c>
      <c r="C58" s="47">
        <v>143.18</v>
      </c>
      <c r="D58" s="47">
        <v>3782.84</v>
      </c>
      <c r="E58" s="47">
        <v>6770.32</v>
      </c>
      <c r="F58" s="47">
        <v>2779.42</v>
      </c>
      <c r="G58" s="47">
        <v>2918.63</v>
      </c>
      <c r="H58" s="47">
        <v>7892.59</v>
      </c>
      <c r="I58" s="47">
        <v>647.23</v>
      </c>
      <c r="J58" s="47">
        <v>8840.18</v>
      </c>
      <c r="K58" s="47">
        <v>1470.98</v>
      </c>
      <c r="L58" s="47">
        <v>3178.99</v>
      </c>
      <c r="M58" s="47">
        <v>838.91</v>
      </c>
      <c r="N58" s="47">
        <v>6966.5</v>
      </c>
      <c r="O58" s="47">
        <v>5953.72</v>
      </c>
      <c r="P58" s="47">
        <v>447.0</v>
      </c>
      <c r="Q58" s="47">
        <v>1507.02</v>
      </c>
      <c r="R58" s="47">
        <v>2703.24</v>
      </c>
      <c r="S58" s="47">
        <v>8453.13</v>
      </c>
      <c r="T58" s="47">
        <v>500.0</v>
      </c>
      <c r="U58" s="47">
        <v>4104.55</v>
      </c>
      <c r="V58" s="47">
        <v>2523.59</v>
      </c>
      <c r="W58" s="47">
        <v>6008.15</v>
      </c>
      <c r="X58" s="47">
        <f>B58+C58+D58+E58+F58+G58+H58+I58+J58+K58+L58+M58+N58+O58+P58+Q58+R58+S58+T58+U58+V58+W58</f>
        <v>81026.05</v>
      </c>
    </row>
    <row r="59" spans="1:24" ht="16">
      <c r="A59" s="37" t="s">
        <v>56</v>
      </c>
      <c r="B59" s="46"/>
      <c r="C59" s="47">
        <v>240.0</v>
      </c>
      <c r="D59" s="46"/>
      <c r="E59" s="47">
        <v>360.0</v>
      </c>
      <c r="F59" s="46"/>
      <c r="G59" s="47">
        <v>160.0</v>
      </c>
      <c r="H59" s="46"/>
      <c r="I59" s="47">
        <v>160.0</v>
      </c>
      <c r="J59" s="47">
        <v>154.22</v>
      </c>
      <c r="K59" s="47">
        <v>295.99</v>
      </c>
      <c r="L59" s="47">
        <v>261.78</v>
      </c>
      <c r="M59" s="47">
        <v>474.69</v>
      </c>
      <c r="N59" s="47">
        <v>314.69</v>
      </c>
      <c r="O59" s="47">
        <v>474.69</v>
      </c>
      <c r="P59" s="46"/>
      <c r="Q59" s="47">
        <v>160.0</v>
      </c>
      <c r="R59" s="46"/>
      <c r="S59" s="47">
        <v>3410.0</v>
      </c>
      <c r="T59" s="47">
        <v>4550.0</v>
      </c>
      <c r="U59" s="47">
        <v>3434.0</v>
      </c>
      <c r="V59" s="47">
        <v>160.0</v>
      </c>
      <c r="W59" s="47">
        <v>180.0</v>
      </c>
      <c r="X59" s="47">
        <f>B59+C59+D59+E59+F59+G59+H59+I59+J59+K59+L59+M59+N59+O59+P59+Q59+R59+S59+T59+U59+V59+W59</f>
        <v>14790.06</v>
      </c>
    </row>
    <row r="60" spans="1:24" ht="16">
      <c r="A60" s="39" t="s">
        <v>57</v>
      </c>
      <c r="B60" s="46"/>
      <c r="C60" s="46"/>
      <c r="D60" s="47">
        <v>1105.0</v>
      </c>
      <c r="E60" s="47">
        <v>2890.0</v>
      </c>
      <c r="F60" s="47">
        <v>8543.75</v>
      </c>
      <c r="G60" s="47">
        <v>5517.5</v>
      </c>
      <c r="H60" s="47">
        <v>7047.5</v>
      </c>
      <c r="I60" s="47">
        <v>3740.0</v>
      </c>
      <c r="J60" s="47">
        <v>3081.25</v>
      </c>
      <c r="K60" s="47">
        <v>8000.0</v>
      </c>
      <c r="L60" s="46"/>
      <c r="M60" s="47">
        <v>4904.5</v>
      </c>
      <c r="N60" s="47">
        <v>722.5</v>
      </c>
      <c r="O60" s="46"/>
      <c r="P60" s="46"/>
      <c r="Q60" s="46"/>
      <c r="R60" s="47">
        <v>1682.5</v>
      </c>
      <c r="S60" s="47">
        <v>8776.25</v>
      </c>
      <c r="T60" s="47">
        <v>1742.5</v>
      </c>
      <c r="U60" s="47">
        <v>10060.55</v>
      </c>
      <c r="V60" s="47">
        <v>14420.0</v>
      </c>
      <c r="W60" s="47">
        <v>17392.5</v>
      </c>
      <c r="X60" s="47">
        <f>B60+C60+D60+E60+F60+G60+H60+I60+J60+K60+L60+M60+N60+O60+P60+Q60+R60+S60+T60+U60+V60+W60</f>
        <v>99626.3</v>
      </c>
    </row>
    <row r="61" spans="1:24" ht="16">
      <c r="A61" s="40" t="s">
        <v>58</v>
      </c>
      <c r="B61" s="49">
        <f>B59+B60</f>
        <v>0.0</v>
      </c>
      <c r="C61" s="48">
        <f>C59+C60</f>
        <v>240.0</v>
      </c>
      <c r="D61" s="48">
        <f>D59+D60</f>
        <v>1105.0</v>
      </c>
      <c r="E61" s="48">
        <f>E59+E60</f>
        <v>3250.0</v>
      </c>
      <c r="F61" s="48">
        <f>F59+F60</f>
        <v>8543.75</v>
      </c>
      <c r="G61" s="48">
        <f>G59+G60</f>
        <v>5677.5</v>
      </c>
      <c r="H61" s="48">
        <f>H59+H60</f>
        <v>7047.5</v>
      </c>
      <c r="I61" s="48">
        <f>I59+I60</f>
        <v>3900.0</v>
      </c>
      <c r="J61" s="48">
        <f>J59+J60</f>
        <v>3235.47</v>
      </c>
      <c r="K61" s="48">
        <f>K59+K60</f>
        <v>8295.99</v>
      </c>
      <c r="L61" s="48">
        <f>L59+L60</f>
        <v>261.78</v>
      </c>
      <c r="M61" s="48">
        <f>M59+M60</f>
        <v>5379.19</v>
      </c>
      <c r="N61" s="48">
        <f>N59+N60</f>
        <v>1037.19</v>
      </c>
      <c r="O61" s="48">
        <f>O59+O60</f>
        <v>474.69</v>
      </c>
      <c r="P61" s="49">
        <f>P59+P60</f>
        <v>0.0</v>
      </c>
      <c r="Q61" s="48">
        <f>Q59+Q60</f>
        <v>160.0</v>
      </c>
      <c r="R61" s="48">
        <f>R59+R60</f>
        <v>1682.5</v>
      </c>
      <c r="S61" s="48">
        <f>S59+S60</f>
        <v>12186.25</v>
      </c>
      <c r="T61" s="48">
        <f>T59+T60</f>
        <v>6292.5</v>
      </c>
      <c r="U61" s="48">
        <f>U59+U60</f>
        <v>13494.55</v>
      </c>
      <c r="V61" s="48">
        <f>V59+V60</f>
        <v>14580.0</v>
      </c>
      <c r="W61" s="48">
        <f>W59+W60</f>
        <v>17572.5</v>
      </c>
      <c r="X61" s="49">
        <f>B61+C61+D61+E61+F61+G61+H61+I61+J61+K61+L61+M61+N61+O61+P61+Q61+R61+S61+T61+U61+V61+W61</f>
        <v>114416.36</v>
      </c>
    </row>
    <row r="62" spans="1:24" ht="16">
      <c r="A62" s="37" t="s">
        <v>59</v>
      </c>
      <c r="B62" s="47">
        <v>946.67</v>
      </c>
      <c r="C62" s="47">
        <v>300.95</v>
      </c>
      <c r="D62" s="47">
        <v>750.5</v>
      </c>
      <c r="E62" s="47">
        <v>867.08</v>
      </c>
      <c r="F62" s="47">
        <v>1539.25</v>
      </c>
      <c r="G62" s="47">
        <v>595.0</v>
      </c>
      <c r="H62" s="47">
        <v>192.45</v>
      </c>
      <c r="I62" s="47">
        <v>1096.11</v>
      </c>
      <c r="J62" s="47">
        <v>902.4</v>
      </c>
      <c r="K62" s="47">
        <v>481.0</v>
      </c>
      <c r="L62" s="47">
        <v>352.5</v>
      </c>
      <c r="M62" s="47">
        <v>1288.4</v>
      </c>
      <c r="N62" s="47">
        <v>382.33</v>
      </c>
      <c r="O62" s="47">
        <v>1439.39</v>
      </c>
      <c r="P62" s="47">
        <v>276.0</v>
      </c>
      <c r="Q62" s="47">
        <v>808.0</v>
      </c>
      <c r="R62" s="47">
        <v>1518.11</v>
      </c>
      <c r="S62" s="47">
        <v>1641.79</v>
      </c>
      <c r="T62" s="47">
        <v>305.99</v>
      </c>
      <c r="U62" s="47">
        <v>372.45</v>
      </c>
      <c r="V62" s="47">
        <v>1118.72</v>
      </c>
      <c r="W62" s="47">
        <v>300.0</v>
      </c>
      <c r="X62" s="47">
        <f>B62+C62+D62+E62+F62+G62+H62+I62+J62+K62+L62+M62+N62+O62+P62+Q62+R62+S62+T62+U62+V62+W62</f>
        <v>17475.09</v>
      </c>
    </row>
    <row r="63" spans="1:24" ht="16">
      <c r="A63" s="37" t="s">
        <v>60</v>
      </c>
      <c r="B63" s="46"/>
      <c r="C63" s="46"/>
      <c r="D63" s="46"/>
      <c r="E63" s="46"/>
      <c r="F63" s="47">
        <v>4262.52</v>
      </c>
      <c r="G63" s="46"/>
      <c r="H63" s="46"/>
      <c r="I63" s="46"/>
      <c r="J63" s="46"/>
      <c r="K63" s="46"/>
      <c r="L63" s="46"/>
      <c r="M63" s="46"/>
      <c r="N63" s="47">
        <v>5000.0</v>
      </c>
      <c r="O63" s="46"/>
      <c r="P63" s="46"/>
      <c r="Q63" s="46"/>
      <c r="R63" s="46"/>
      <c r="S63" s="46"/>
      <c r="T63" s="46"/>
      <c r="U63" s="46"/>
      <c r="V63" s="47">
        <v>3500.0</v>
      </c>
      <c r="W63" s="46"/>
      <c r="X63" s="47">
        <f>B63+C63+D63+E63+F63+G63+H63+I63+J63+K63+L63+M63+N63+O63+P63+Q63+R63+S63+T63+U63+V63+W63</f>
        <v>12762.52</v>
      </c>
    </row>
    <row r="64" spans="1:24" ht="16">
      <c r="A64" s="37" t="s">
        <v>61</v>
      </c>
      <c r="B64" s="47">
        <v>190.0</v>
      </c>
      <c r="C64" s="47">
        <v>1191.88</v>
      </c>
      <c r="D64" s="47">
        <v>1318.12</v>
      </c>
      <c r="E64" s="46"/>
      <c r="F64" s="46"/>
      <c r="G64" s="47">
        <v>6176.12</v>
      </c>
      <c r="H64" s="47">
        <v>2709.91</v>
      </c>
      <c r="I64" s="46"/>
      <c r="J64" s="46"/>
      <c r="K64" s="46"/>
      <c r="L64" s="46"/>
      <c r="M64" s="46"/>
      <c r="N64" s="46"/>
      <c r="O64" s="47">
        <v>4645.84</v>
      </c>
      <c r="P64" s="46"/>
      <c r="Q64" s="46"/>
      <c r="R64" s="47">
        <v>755.74</v>
      </c>
      <c r="S64" s="47">
        <v>6526.11</v>
      </c>
      <c r="T64" s="46"/>
      <c r="U64" s="46"/>
      <c r="V64" s="46"/>
      <c r="W64" s="46"/>
      <c r="X64" s="47">
        <f>B64+C64+D64+E64+F64+G64+H64+I64+J64+K64+L64+M64+N64+O64+P64+Q64+R64+S64+T64+U64+V64+W64</f>
        <v>23513.72</v>
      </c>
    </row>
    <row r="65" spans="1:24" ht="16">
      <c r="A65" s="37" t="s">
        <v>62</v>
      </c>
      <c r="B65" s="47">
        <v>67.88</v>
      </c>
      <c r="C65" s="47">
        <v>78.2</v>
      </c>
      <c r="D65" s="47">
        <v>82.07</v>
      </c>
      <c r="E65" s="47">
        <v>203.68</v>
      </c>
      <c r="F65" s="47">
        <v>128.9</v>
      </c>
      <c r="G65" s="47">
        <v>143.71</v>
      </c>
      <c r="H65" s="47">
        <v>207.87</v>
      </c>
      <c r="I65" s="47">
        <v>160.06</v>
      </c>
      <c r="J65" s="47">
        <v>229.97</v>
      </c>
      <c r="K65" s="47">
        <v>89.39</v>
      </c>
      <c r="L65" s="47">
        <v>174.52</v>
      </c>
      <c r="M65" s="47">
        <v>283.85</v>
      </c>
      <c r="N65" s="47">
        <v>250.38</v>
      </c>
      <c r="O65" s="47">
        <v>195.89</v>
      </c>
      <c r="P65" s="47">
        <v>108.68</v>
      </c>
      <c r="Q65" s="47">
        <v>113.27</v>
      </c>
      <c r="R65" s="47">
        <v>454.8</v>
      </c>
      <c r="S65" s="47">
        <v>102.47</v>
      </c>
      <c r="T65" s="47">
        <v>202.34</v>
      </c>
      <c r="U65" s="46"/>
      <c r="V65" s="46"/>
      <c r="W65" s="47">
        <v>160.55</v>
      </c>
      <c r="X65" s="47">
        <f>B65+C65+D65+E65+F65+G65+H65+I65+J65+K65+L65+M65+N65+O65+P65+Q65+R65+S65+T65+U65+V65+W65</f>
        <v>3438.4800000000005</v>
      </c>
    </row>
    <row r="66" spans="1:24" ht="16">
      <c r="A66" s="37" t="s">
        <v>63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spans="1:24" ht="16">
      <c r="A67" s="39" t="s">
        <v>64</v>
      </c>
      <c r="B67" s="46"/>
      <c r="C67" s="46"/>
      <c r="D67" s="46"/>
      <c r="E67" s="47">
        <v>1397.0</v>
      </c>
      <c r="F67" s="46"/>
      <c r="G67" s="46"/>
      <c r="H67" s="46"/>
      <c r="I67" s="47">
        <v>1397.0</v>
      </c>
      <c r="J67" s="46"/>
      <c r="K67" s="46"/>
      <c r="L67" s="46"/>
      <c r="M67" s="47">
        <v>1397.0</v>
      </c>
      <c r="N67" s="46"/>
      <c r="O67" s="46"/>
      <c r="P67" s="46"/>
      <c r="Q67" s="46"/>
      <c r="R67" s="47">
        <v>1397.0</v>
      </c>
      <c r="S67" s="46"/>
      <c r="T67" s="46"/>
      <c r="U67" s="46"/>
      <c r="V67" s="47">
        <v>1397.0</v>
      </c>
      <c r="W67" s="46"/>
      <c r="X67" s="47">
        <f>B67+C67+D67+E67+F67+G67+H67+I67+J67+K67+L67+M67+N67+O67+P67+Q67+R67+S67+T67+U67+V67+W67</f>
        <v>6985.0</v>
      </c>
    </row>
    <row r="68" spans="1:24" ht="16">
      <c r="A68" s="39" t="s">
        <v>65</v>
      </c>
      <c r="B68" s="46"/>
      <c r="C68" s="46"/>
      <c r="D68" s="46"/>
      <c r="E68" s="46"/>
      <c r="F68" s="47">
        <v>426.82</v>
      </c>
      <c r="G68" s="46"/>
      <c r="H68" s="46"/>
      <c r="I68" s="46"/>
      <c r="J68" s="47">
        <v>426.82</v>
      </c>
      <c r="K68" s="46"/>
      <c r="L68" s="46"/>
      <c r="M68" s="46"/>
      <c r="N68" s="47">
        <v>426.82</v>
      </c>
      <c r="O68" s="46"/>
      <c r="P68" s="46"/>
      <c r="Q68" s="46"/>
      <c r="R68" s="46"/>
      <c r="S68" s="47">
        <v>426.82</v>
      </c>
      <c r="T68" s="46"/>
      <c r="U68" s="46"/>
      <c r="V68" s="46"/>
      <c r="W68" s="46"/>
      <c r="X68" s="47">
        <f>B68+C68+D68+E68+F68+G68+H68+I68+J68+K68+L68+M68+N68+O68+P68+Q68+R68+S68+T68+U68+V68+W68</f>
        <v>1707.28</v>
      </c>
    </row>
    <row r="69" spans="1:24" ht="16">
      <c r="A69" s="39" t="s">
        <v>66</v>
      </c>
      <c r="B69" s="46"/>
      <c r="C69" s="47">
        <v>604.99</v>
      </c>
      <c r="D69" s="46"/>
      <c r="E69" s="46"/>
      <c r="F69" s="46"/>
      <c r="G69" s="47">
        <v>604.94</v>
      </c>
      <c r="H69" s="46"/>
      <c r="I69" s="46"/>
      <c r="J69" s="46"/>
      <c r="K69" s="47">
        <v>669.47</v>
      </c>
      <c r="L69" s="46"/>
      <c r="M69" s="46"/>
      <c r="N69" s="46"/>
      <c r="O69" s="46"/>
      <c r="P69" s="47">
        <v>499.57</v>
      </c>
      <c r="Q69" s="46"/>
      <c r="R69" s="46"/>
      <c r="S69" s="46"/>
      <c r="T69" s="47">
        <v>1603.95</v>
      </c>
      <c r="U69" s="46"/>
      <c r="V69" s="47">
        <v>1818.0</v>
      </c>
      <c r="W69" s="46"/>
      <c r="X69" s="47">
        <f>B69+C69+D69+E69+F69+G69+H69+I69+J69+K69+L69+M69+N69+O69+P69+Q69+R69+S69+T69+U69+V69+W69</f>
        <v>5800.92</v>
      </c>
    </row>
    <row r="70" spans="1:24" ht="16">
      <c r="A70" s="39" t="s">
        <v>67</v>
      </c>
      <c r="B70" s="46"/>
      <c r="C70" s="46"/>
      <c r="D70" s="47">
        <v>1930.73</v>
      </c>
      <c r="E70" s="46"/>
      <c r="F70" s="46"/>
      <c r="G70" s="46"/>
      <c r="H70" s="46"/>
      <c r="I70" s="47">
        <v>1930.73</v>
      </c>
      <c r="J70" s="46"/>
      <c r="K70" s="46"/>
      <c r="L70" s="46"/>
      <c r="M70" s="47">
        <v>1930.72</v>
      </c>
      <c r="N70" s="46"/>
      <c r="O70" s="46"/>
      <c r="P70" s="46"/>
      <c r="Q70" s="47">
        <v>1930.72</v>
      </c>
      <c r="R70" s="46"/>
      <c r="S70" s="46"/>
      <c r="T70" s="46"/>
      <c r="U70" s="46"/>
      <c r="V70" s="47">
        <v>1930.72</v>
      </c>
      <c r="W70" s="46"/>
      <c r="X70" s="47">
        <f>B70+C70+D70+E70+F70+G70+H70+I70+J70+K70+L70+M70+N70+O70+P70+Q70+R70+S70+T70+U70+V70+W70</f>
        <v>9653.62</v>
      </c>
    </row>
    <row r="71" spans="1:24" ht="16">
      <c r="A71" s="39" t="s">
        <v>68</v>
      </c>
      <c r="B71" s="46"/>
      <c r="C71" s="46"/>
      <c r="D71" s="47">
        <v>1930.72</v>
      </c>
      <c r="E71" s="46"/>
      <c r="F71" s="46"/>
      <c r="G71" s="46"/>
      <c r="H71" s="46"/>
      <c r="I71" s="47">
        <v>1930.72</v>
      </c>
      <c r="J71" s="46"/>
      <c r="K71" s="46"/>
      <c r="L71" s="46"/>
      <c r="M71" s="47">
        <v>1930.73</v>
      </c>
      <c r="N71" s="46"/>
      <c r="O71" s="46"/>
      <c r="P71" s="46"/>
      <c r="Q71" s="47">
        <v>1930.73</v>
      </c>
      <c r="R71" s="46"/>
      <c r="S71" s="46"/>
      <c r="T71" s="46"/>
      <c r="U71" s="46"/>
      <c r="V71" s="47">
        <v>1930.73</v>
      </c>
      <c r="W71" s="46"/>
      <c r="X71" s="47">
        <f>B71+C71+D71+E71+F71+G71+H71+I71+J71+K71+L71+M71+N71+O71+P71+Q71+R71+S71+T71+U71+V71+W71</f>
        <v>9653.63</v>
      </c>
    </row>
    <row r="72" spans="1:24" ht="16">
      <c r="A72" s="39" t="s">
        <v>69</v>
      </c>
      <c r="B72" s="47">
        <v>987.0</v>
      </c>
      <c r="C72" s="47">
        <v>4494.97</v>
      </c>
      <c r="D72" s="46"/>
      <c r="E72" s="46"/>
      <c r="F72" s="46"/>
      <c r="G72" s="46"/>
      <c r="H72" s="47">
        <v>7311.41</v>
      </c>
      <c r="I72" s="46"/>
      <c r="J72" s="46"/>
      <c r="K72" s="46"/>
      <c r="L72" s="47">
        <v>6158.81</v>
      </c>
      <c r="M72" s="46"/>
      <c r="N72" s="47">
        <v>1205.66</v>
      </c>
      <c r="O72" s="46"/>
      <c r="P72" s="47">
        <v>4494.97</v>
      </c>
      <c r="Q72" s="47">
        <v>1676.0</v>
      </c>
      <c r="R72" s="46"/>
      <c r="S72" s="46"/>
      <c r="T72" s="47">
        <v>705.0</v>
      </c>
      <c r="U72" s="47">
        <v>4494.97</v>
      </c>
      <c r="V72" s="47">
        <v>551.2</v>
      </c>
      <c r="W72" s="46"/>
      <c r="X72" s="47">
        <f>B72+C72+D72+E72+F72+G72+H72+I72+J72+K72+L72+M72+N72+O72+P72+Q72+R72+S72+T72+U72+V72+W72</f>
        <v>32079.990000000005</v>
      </c>
    </row>
    <row r="73" spans="1:24" ht="16">
      <c r="A73" s="39" t="s">
        <v>70</v>
      </c>
      <c r="B73" s="46"/>
      <c r="C73" s="46"/>
      <c r="D73" s="47">
        <v>-13591.09</v>
      </c>
      <c r="E73" s="46"/>
      <c r="F73" s="46"/>
      <c r="G73" s="47">
        <v>5264.38</v>
      </c>
      <c r="H73" s="46"/>
      <c r="I73" s="47">
        <v>6364.39</v>
      </c>
      <c r="J73" s="46"/>
      <c r="K73" s="46"/>
      <c r="L73" s="46"/>
      <c r="M73" s="47">
        <v>5860.78</v>
      </c>
      <c r="N73" s="47">
        <v>18.82</v>
      </c>
      <c r="O73" s="47">
        <v>18.42</v>
      </c>
      <c r="P73" s="47">
        <v>6.89</v>
      </c>
      <c r="Q73" s="47">
        <v>9039.57</v>
      </c>
      <c r="R73" s="47">
        <v>19.17</v>
      </c>
      <c r="S73" s="47">
        <v>20.05</v>
      </c>
      <c r="T73" s="47">
        <v>7.76</v>
      </c>
      <c r="U73" s="47">
        <v>8912.53</v>
      </c>
      <c r="V73" s="47">
        <v>16.88</v>
      </c>
      <c r="W73" s="47">
        <v>10.36</v>
      </c>
      <c r="X73" s="47">
        <f>B73+C73+D73+E73+F73+G73+H73+I73+J73+K73+L73+M73+N73+O73+P73+Q73+R73+S73+T73+U73+V73+W73</f>
        <v>21968.91</v>
      </c>
    </row>
    <row r="74" spans="1:24" ht="16">
      <c r="A74" s="40" t="s">
        <v>71</v>
      </c>
      <c r="B74" s="48">
        <f>B66+B67+B68+B69+B70+B71+B72+B73</f>
        <v>987.0</v>
      </c>
      <c r="C74" s="48">
        <f>C66+C67+C68+C69+C70+C71+C72+C73</f>
        <v>5099.96</v>
      </c>
      <c r="D74" s="48">
        <f>D66+D67+D68+D69+D70+D71+D72+D73</f>
        <v>-9729.64</v>
      </c>
      <c r="E74" s="48">
        <f>E66+E67+E68+E69+E70+E71+E72+E73</f>
        <v>1397.0</v>
      </c>
      <c r="F74" s="48">
        <f>F66+F67+F68+F69+F70+F71+F72+F73</f>
        <v>426.82</v>
      </c>
      <c r="G74" s="48">
        <f>G66+G67+G68+G69+G70+G71+G72+G73</f>
        <v>5869.32</v>
      </c>
      <c r="H74" s="48">
        <f>H66+H67+H68+H69+H70+H71+H72+H73</f>
        <v>7311.41</v>
      </c>
      <c r="I74" s="48">
        <f>I66+I67+I68+I69+I70+I71+I72+I73</f>
        <v>11622.84</v>
      </c>
      <c r="J74" s="48">
        <f>J66+J67+J68+J69+J70+J71+J72+J73</f>
        <v>426.82</v>
      </c>
      <c r="K74" s="48">
        <f>K66+K67+K68+K69+K70+K71+K72+K73</f>
        <v>669.47</v>
      </c>
      <c r="L74" s="48">
        <f>L66+L67+L68+L69+L70+L71+L72+L73</f>
        <v>6158.81</v>
      </c>
      <c r="M74" s="48">
        <f>M66+M67+M68+M69+M70+M71+M72+M73</f>
        <v>11119.23</v>
      </c>
      <c r="N74" s="48">
        <f>N66+N67+N68+N69+N70+N71+N72+N73</f>
        <v>1651.3</v>
      </c>
      <c r="O74" s="48">
        <f>O66+O67+O68+O69+O70+O71+O72+O73</f>
        <v>18.42</v>
      </c>
      <c r="P74" s="48">
        <f>P66+P67+P68+P69+P70+P71+P72+P73</f>
        <v>5001.43</v>
      </c>
      <c r="Q74" s="48">
        <f>Q66+Q67+Q68+Q69+Q70+Q71+Q72+Q73</f>
        <v>14577.02</v>
      </c>
      <c r="R74" s="48">
        <f>R66+R67+R68+R69+R70+R71+R72+R73</f>
        <v>1416.17</v>
      </c>
      <c r="S74" s="48">
        <f>S66+S67+S68+S69+S70+S71+S72+S73</f>
        <v>446.87</v>
      </c>
      <c r="T74" s="48">
        <f>T66+T67+T68+T69+T70+T71+T72+T73</f>
        <v>2316.71</v>
      </c>
      <c r="U74" s="48">
        <f>U66+U67+U68+U69+U70+U71+U72+U73</f>
        <v>13407.5</v>
      </c>
      <c r="V74" s="48">
        <f>V66+V67+V68+V69+V70+V71+V72+V73</f>
        <v>7644.530000000001</v>
      </c>
      <c r="W74" s="48">
        <f>W66+W67+W68+W69+W70+W71+W72+W73</f>
        <v>10.36</v>
      </c>
      <c r="X74" s="49">
        <f>B74+C74+D74+E74+F74+G74+H74+I74+J74+K74+L74+M74+N74+O74+P74+Q74+R74+S74+T74+U74+V74+W74</f>
        <v>87849.35</v>
      </c>
    </row>
    <row r="75" spans="1:24" ht="16">
      <c r="A75" s="37" t="s">
        <v>72</v>
      </c>
      <c r="B75" s="46"/>
      <c r="C75" s="46"/>
      <c r="D75" s="46"/>
      <c r="E75" s="46"/>
      <c r="F75" s="47">
        <v>2936.72</v>
      </c>
      <c r="G75" s="46"/>
      <c r="H75" s="46"/>
      <c r="I75" s="46"/>
      <c r="J75" s="47">
        <v>2936.72</v>
      </c>
      <c r="K75" s="46"/>
      <c r="L75" s="46"/>
      <c r="M75" s="46"/>
      <c r="N75" s="46"/>
      <c r="O75" s="47">
        <v>2936.72</v>
      </c>
      <c r="P75" s="46"/>
      <c r="Q75" s="46"/>
      <c r="R75" s="46"/>
      <c r="S75" s="46"/>
      <c r="T75" s="46"/>
      <c r="U75" s="46"/>
      <c r="V75" s="46"/>
      <c r="W75" s="46"/>
      <c r="X75" s="47">
        <f>B75+C75+D75+E75+F75+G75+H75+I75+J75+K75+L75+M75+N75+O75+P75+Q75+R75+S75+T75+U75+V75+W75</f>
        <v>8810.16</v>
      </c>
    </row>
    <row r="76" spans="1:24" ht="16">
      <c r="A76" s="37" t="s">
        <v>73</v>
      </c>
      <c r="B76" s="46"/>
      <c r="C76" s="46"/>
      <c r="D76" s="46"/>
      <c r="E76" s="47">
        <v>2412.0</v>
      </c>
      <c r="F76" s="46"/>
      <c r="G76" s="46"/>
      <c r="H76" s="47">
        <v>1080.5</v>
      </c>
      <c r="I76" s="46"/>
      <c r="J76" s="47">
        <v>109.0</v>
      </c>
      <c r="K76" s="47">
        <v>800.0</v>
      </c>
      <c r="L76" s="46"/>
      <c r="M76" s="46"/>
      <c r="N76" s="47">
        <v>109.0</v>
      </c>
      <c r="O76" s="46"/>
      <c r="P76" s="47">
        <v>25.0</v>
      </c>
      <c r="Q76" s="47">
        <v>1127.0</v>
      </c>
      <c r="R76" s="47">
        <v>1708.0</v>
      </c>
      <c r="S76" s="46"/>
      <c r="T76" s="46"/>
      <c r="U76" s="47">
        <v>1421.0</v>
      </c>
      <c r="V76" s="47">
        <v>218.0</v>
      </c>
      <c r="W76" s="46"/>
      <c r="X76" s="47">
        <f>B76+C76+D76+E76+F76+G76+H76+I76+J76+K76+L76+M76+N76+O76+P76+Q76+R76+S76+T76+U76+V76+W76</f>
        <v>9009.5</v>
      </c>
    </row>
    <row r="77" spans="1:24" ht="16">
      <c r="A77" s="39" t="s">
        <v>74</v>
      </c>
      <c r="B77" s="46"/>
      <c r="C77" s="46"/>
      <c r="D77" s="46"/>
      <c r="E77" s="46"/>
      <c r="F77" s="46"/>
      <c r="G77" s="47">
        <v>1350.0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7">
        <f>B77+C77+D77+E77+F77+G77+H77+I77+J77+K77+L77+M77+N77+O77+P77+Q77+R77+S77+T77+U77+V77+W77</f>
        <v>1350.0</v>
      </c>
    </row>
    <row r="78" spans="1:24" ht="16">
      <c r="A78" s="39" t="s">
        <v>75</v>
      </c>
      <c r="B78" s="46"/>
      <c r="C78" s="47">
        <v>3000.0</v>
      </c>
      <c r="D78" s="47">
        <v>2500.0</v>
      </c>
      <c r="E78" s="46"/>
      <c r="F78" s="46"/>
      <c r="G78" s="47">
        <v>3000.0</v>
      </c>
      <c r="H78" s="46"/>
      <c r="I78" s="47">
        <v>3000.0</v>
      </c>
      <c r="J78" s="46"/>
      <c r="K78" s="46"/>
      <c r="L78" s="46"/>
      <c r="M78" s="46"/>
      <c r="N78" s="47">
        <v>4500.0</v>
      </c>
      <c r="O78" s="46"/>
      <c r="P78" s="47">
        <v>4700.0</v>
      </c>
      <c r="Q78" s="46"/>
      <c r="R78" s="46"/>
      <c r="S78" s="46"/>
      <c r="T78" s="47">
        <v>7000.0</v>
      </c>
      <c r="U78" s="46"/>
      <c r="V78" s="46"/>
      <c r="W78" s="47">
        <v>1900.0</v>
      </c>
      <c r="X78" s="47">
        <f>B78+C78+D78+E78+F78+G78+H78+I78+J78+K78+L78+M78+N78+O78+P78+Q78+R78+S78+T78+U78+V78+W78</f>
        <v>29600.0</v>
      </c>
    </row>
    <row r="79" spans="1:24" ht="16">
      <c r="A79" s="39" t="s">
        <v>76</v>
      </c>
      <c r="B79" s="46"/>
      <c r="C79" s="47">
        <v>288.46</v>
      </c>
      <c r="D79" s="47">
        <v>288.46</v>
      </c>
      <c r="E79" s="47">
        <v>288.46</v>
      </c>
      <c r="F79" s="47">
        <v>288.46</v>
      </c>
      <c r="G79" s="47">
        <v>288.46</v>
      </c>
      <c r="H79" s="47">
        <v>288.46</v>
      </c>
      <c r="I79" s="47">
        <v>288.46</v>
      </c>
      <c r="J79" s="47">
        <v>288.46</v>
      </c>
      <c r="K79" s="47">
        <v>288.46</v>
      </c>
      <c r="L79" s="47">
        <v>288.46</v>
      </c>
      <c r="M79" s="47">
        <v>288.46</v>
      </c>
      <c r="N79" s="47">
        <v>288.46</v>
      </c>
      <c r="O79" s="47">
        <v>288.46</v>
      </c>
      <c r="P79" s="47">
        <v>288.46</v>
      </c>
      <c r="Q79" s="47">
        <v>288.46</v>
      </c>
      <c r="R79" s="47">
        <v>288.46</v>
      </c>
      <c r="S79" s="47">
        <v>288.46</v>
      </c>
      <c r="T79" s="47">
        <v>288.46</v>
      </c>
      <c r="U79" s="47">
        <v>288.46</v>
      </c>
      <c r="V79" s="47">
        <v>288.46</v>
      </c>
      <c r="W79" s="47">
        <v>288.46</v>
      </c>
      <c r="X79" s="47">
        <f>B79+C79+D79+E79+F79+G79+H79+I79+J79+K79+L79+M79+N79+O79+P79+Q79+R79+S79+T79+U79+V79+W79</f>
        <v>6057.66</v>
      </c>
    </row>
    <row r="80" spans="1:24" ht="16">
      <c r="A80" s="39" t="s">
        <v>77</v>
      </c>
      <c r="B80" s="46"/>
      <c r="C80" s="47">
        <v>1710.0</v>
      </c>
      <c r="D80" s="47">
        <v>500.0</v>
      </c>
      <c r="E80" s="47">
        <v>500.0</v>
      </c>
      <c r="F80" s="47">
        <v>500.0</v>
      </c>
      <c r="G80" s="47">
        <v>500.0</v>
      </c>
      <c r="H80" s="47">
        <v>6745.0</v>
      </c>
      <c r="I80" s="47">
        <v>500.0</v>
      </c>
      <c r="J80" s="46"/>
      <c r="K80" s="46"/>
      <c r="L80" s="46"/>
      <c r="M80" s="47">
        <v>1385.0</v>
      </c>
      <c r="N80" s="47">
        <v>10000.0</v>
      </c>
      <c r="O80" s="46"/>
      <c r="P80" s="47">
        <v>245.0</v>
      </c>
      <c r="Q80" s="46"/>
      <c r="R80" s="46"/>
      <c r="S80" s="46"/>
      <c r="T80" s="47">
        <v>210.0</v>
      </c>
      <c r="U80" s="46"/>
      <c r="V80" s="47">
        <v>2500.0</v>
      </c>
      <c r="W80" s="47">
        <v>7809.01</v>
      </c>
      <c r="X80" s="47">
        <f>B80+C80+D80+E80+F80+G80+H80+I80+J80+K80+L80+M80+N80+O80+P80+Q80+R80+S80+T80+U80+V80+W80</f>
        <v>33104.01</v>
      </c>
    </row>
    <row r="81" spans="1:24" ht="16">
      <c r="A81" s="40" t="s">
        <v>78</v>
      </c>
      <c r="B81" s="49">
        <f>B76+B77+B78+B79+B80</f>
        <v>0.0</v>
      </c>
      <c r="C81" s="48">
        <f>C76+C77+C78+C79+C80</f>
        <v>4998.46</v>
      </c>
      <c r="D81" s="48">
        <f>D76+D77+D78+D79+D80</f>
        <v>3288.46</v>
      </c>
      <c r="E81" s="48">
        <f>E76+E77+E78+E79+E80</f>
        <v>3200.46</v>
      </c>
      <c r="F81" s="48">
        <f>F76+F77+F78+F79+F80</f>
        <v>788.46</v>
      </c>
      <c r="G81" s="48">
        <f>G76+G77+G78+G79+G80</f>
        <v>5138.46</v>
      </c>
      <c r="H81" s="48">
        <f>H76+H77+H78+H79+H80</f>
        <v>8113.96</v>
      </c>
      <c r="I81" s="48">
        <f>I76+I77+I78+I79+I80</f>
        <v>3788.46</v>
      </c>
      <c r="J81" s="48">
        <f>J76+J77+J78+J79+J80</f>
        <v>397.46</v>
      </c>
      <c r="K81" s="48">
        <f>K76+K77+K78+K79+K80</f>
        <v>1088.46</v>
      </c>
      <c r="L81" s="48">
        <f>L76+L77+L78+L79+L80</f>
        <v>288.46</v>
      </c>
      <c r="M81" s="48">
        <f>M76+M77+M78+M79+M80</f>
        <v>1673.46</v>
      </c>
      <c r="N81" s="48">
        <f>N76+N77+N78+N79+N80</f>
        <v>14897.46</v>
      </c>
      <c r="O81" s="48">
        <f>O76+O77+O78+O79+O80</f>
        <v>288.46</v>
      </c>
      <c r="P81" s="48">
        <f>P76+P77+P78+P79+P80</f>
        <v>5258.46</v>
      </c>
      <c r="Q81" s="48">
        <f>Q76+Q77+Q78+Q79+Q80</f>
        <v>1415.46</v>
      </c>
      <c r="R81" s="48">
        <f>R76+R77+R78+R79+R80</f>
        <v>1996.46</v>
      </c>
      <c r="S81" s="48">
        <f>S76+S77+S78+S79+S80</f>
        <v>288.46</v>
      </c>
      <c r="T81" s="48">
        <f>T76+T77+T78+T79+T80</f>
        <v>7498.46</v>
      </c>
      <c r="U81" s="48">
        <f>U76+U77+U78+U79+U80</f>
        <v>1709.46</v>
      </c>
      <c r="V81" s="48">
        <f>V76+V77+V78+V79+V80</f>
        <v>3006.46</v>
      </c>
      <c r="W81" s="48">
        <f>W76+W77+W78+W79+W80</f>
        <v>9997.470000000001</v>
      </c>
      <c r="X81" s="49">
        <f>B81+C81+D81+E81+F81+G81+H81+I81+J81+K81+L81+M81+N81+O81+P81+Q81+R81+S81+T81+U81+V81+W81</f>
        <v>79121.17</v>
      </c>
    </row>
    <row r="82" spans="1:24" ht="16">
      <c r="A82" s="37" t="s">
        <v>79</v>
      </c>
      <c r="B82" s="47">
        <v>97.0</v>
      </c>
      <c r="C82" s="47">
        <v>267.18</v>
      </c>
      <c r="D82" s="47">
        <v>631.36</v>
      </c>
      <c r="E82" s="46"/>
      <c r="F82" s="46"/>
      <c r="G82" s="46"/>
      <c r="H82" s="46"/>
      <c r="I82" s="47">
        <v>534.36</v>
      </c>
      <c r="J82" s="47">
        <v>318.62</v>
      </c>
      <c r="K82" s="46"/>
      <c r="L82" s="46"/>
      <c r="M82" s="46"/>
      <c r="N82" s="46"/>
      <c r="O82" s="47">
        <v>267.18</v>
      </c>
      <c r="P82" s="46"/>
      <c r="Q82" s="47">
        <v>195.9</v>
      </c>
      <c r="R82" s="46"/>
      <c r="S82" s="47">
        <v>959.66</v>
      </c>
      <c r="T82" s="46"/>
      <c r="U82" s="46"/>
      <c r="V82" s="46"/>
      <c r="W82" s="47">
        <v>375.6</v>
      </c>
      <c r="X82" s="47">
        <f>B82+C82+D82+E82+F82+G82+H82+I82+J82+K82+L82+M82+N82+O82+P82+Q82+R82+S82+T82+U82+V82+W82</f>
        <v>3646.8599999999997</v>
      </c>
    </row>
    <row r="83" spans="1:24" ht="16">
      <c r="A83" s="37" t="s">
        <v>80</v>
      </c>
      <c r="B83" s="46"/>
      <c r="C83" s="46"/>
      <c r="D83" s="46"/>
      <c r="E83" s="46"/>
      <c r="F83" s="47">
        <v>69.29</v>
      </c>
      <c r="G83" s="46"/>
      <c r="H83" s="47">
        <v>289.25</v>
      </c>
      <c r="I83" s="46"/>
      <c r="J83" s="47">
        <v>96.12</v>
      </c>
      <c r="K83" s="47">
        <v>587.04</v>
      </c>
      <c r="L83" s="46"/>
      <c r="M83" s="47">
        <v>71.29</v>
      </c>
      <c r="N83" s="47">
        <v>310.71</v>
      </c>
      <c r="O83" s="46"/>
      <c r="P83" s="47">
        <v>469.28</v>
      </c>
      <c r="Q83" s="47">
        <v>59.04</v>
      </c>
      <c r="R83" s="47">
        <v>425.13</v>
      </c>
      <c r="S83" s="47">
        <v>1306.4</v>
      </c>
      <c r="T83" s="47">
        <v>489.59</v>
      </c>
      <c r="U83" s="46"/>
      <c r="V83" s="46"/>
      <c r="W83" s="47">
        <v>502.09</v>
      </c>
      <c r="X83" s="47">
        <f>B83+C83+D83+E83+F83+G83+H83+I83+J83+K83+L83+M83+N83+O83+P83+Q83+R83+S83+T83+U83+V83+W83</f>
        <v>4675.2300000000005</v>
      </c>
    </row>
    <row r="84" spans="1:24" ht="16">
      <c r="A84" s="37" t="s">
        <v>81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spans="1:24" ht="16">
      <c r="A85" s="39" t="s">
        <v>82</v>
      </c>
      <c r="B85" s="47">
        <v>549.87</v>
      </c>
      <c r="C85" s="47">
        <v>1479.47</v>
      </c>
      <c r="D85" s="47">
        <v>3343.07</v>
      </c>
      <c r="E85" s="47">
        <v>1487.96</v>
      </c>
      <c r="F85" s="47">
        <v>7594.78</v>
      </c>
      <c r="G85" s="47">
        <v>4331.35</v>
      </c>
      <c r="H85" s="47">
        <v>2723.27</v>
      </c>
      <c r="I85" s="47">
        <v>2129.63</v>
      </c>
      <c r="J85" s="47">
        <v>2445.52</v>
      </c>
      <c r="K85" s="47">
        <v>4131.77</v>
      </c>
      <c r="L85" s="47">
        <v>4927.89</v>
      </c>
      <c r="M85" s="47">
        <v>3422.64</v>
      </c>
      <c r="N85" s="47">
        <v>4555.78</v>
      </c>
      <c r="O85" s="47">
        <v>5163.85</v>
      </c>
      <c r="P85" s="47">
        <v>3037.7</v>
      </c>
      <c r="Q85" s="47">
        <v>2897.1</v>
      </c>
      <c r="R85" s="47">
        <v>2852.25</v>
      </c>
      <c r="S85" s="47">
        <v>8654.85</v>
      </c>
      <c r="T85" s="47">
        <v>6970.2</v>
      </c>
      <c r="U85" s="47">
        <v>4439.98</v>
      </c>
      <c r="V85" s="47">
        <v>3363.1</v>
      </c>
      <c r="W85" s="47">
        <v>9445.12</v>
      </c>
      <c r="X85" s="47">
        <f>B85+C85+D85+E85+F85+G85+H85+I85+J85+K85+L85+M85+N85+O85+P85+Q85+R85+S85+T85+U85+V85+W85</f>
        <v>89947.15</v>
      </c>
    </row>
    <row r="86" spans="1:24" ht="16">
      <c r="A86" s="39" t="s">
        <v>83</v>
      </c>
      <c r="B86" s="46"/>
      <c r="C86" s="47">
        <v>6125.0</v>
      </c>
      <c r="D86" s="47">
        <v>2000.0</v>
      </c>
      <c r="E86" s="47">
        <v>5125.0</v>
      </c>
      <c r="F86" s="47">
        <v>7125.0</v>
      </c>
      <c r="G86" s="47">
        <v>6125.0</v>
      </c>
      <c r="H86" s="47">
        <v>16100.0</v>
      </c>
      <c r="I86" s="47">
        <v>5125.0</v>
      </c>
      <c r="J86" s="47">
        <v>10000.0</v>
      </c>
      <c r="K86" s="47">
        <v>9000.0</v>
      </c>
      <c r="L86" s="47">
        <v>10000.0</v>
      </c>
      <c r="M86" s="47">
        <v>6000.0</v>
      </c>
      <c r="N86" s="47">
        <v>15925.0</v>
      </c>
      <c r="O86" s="47">
        <v>10125.0</v>
      </c>
      <c r="P86" s="47">
        <v>12625.0</v>
      </c>
      <c r="Q86" s="47">
        <v>9635.52</v>
      </c>
      <c r="R86" s="47">
        <v>9925.0</v>
      </c>
      <c r="S86" s="47">
        <v>8625.0</v>
      </c>
      <c r="T86" s="47">
        <v>9425.0</v>
      </c>
      <c r="U86" s="47">
        <v>8625.0</v>
      </c>
      <c r="V86" s="47">
        <v>10625.0</v>
      </c>
      <c r="W86" s="47">
        <v>6625.0</v>
      </c>
      <c r="X86" s="47">
        <f>B86+C86+D86+E86+F86+G86+H86+I86+J86+K86+L86+M86+N86+O86+P86+Q86+R86+S86+T86+U86+V86+W86</f>
        <v>184885.52000000002</v>
      </c>
    </row>
    <row r="87" spans="1:24" ht="16">
      <c r="A87" s="39" t="s">
        <v>84</v>
      </c>
      <c r="B87" s="46"/>
      <c r="C87" s="46"/>
      <c r="D87" s="46"/>
      <c r="E87" s="46"/>
      <c r="F87" s="46"/>
      <c r="G87" s="46"/>
      <c r="H87" s="46"/>
      <c r="I87" s="46"/>
      <c r="J87" s="46"/>
      <c r="K87" s="47">
        <v>2908.56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7">
        <f>B87+C87+D87+E87+F87+G87+H87+I87+J87+K87+L87+M87+N87+O87+P87+Q87+R87+S87+T87+U87+V87+W87</f>
        <v>2908.56</v>
      </c>
    </row>
    <row r="88" spans="1:24" ht="16">
      <c r="A88" s="40" t="s">
        <v>85</v>
      </c>
      <c r="B88" s="48">
        <f>B84+B85+B86+B87</f>
        <v>549.87</v>
      </c>
      <c r="C88" s="48">
        <f>C84+C85+C86+C87</f>
        <v>7604.47</v>
      </c>
      <c r="D88" s="48">
        <f>D84+D85+D86+D87</f>
        <v>5343.07</v>
      </c>
      <c r="E88" s="48">
        <f>E84+E85+E86+E87</f>
        <v>6612.96</v>
      </c>
      <c r="F88" s="48">
        <f>F84+F85+F86+F87</f>
        <v>14719.779999999999</v>
      </c>
      <c r="G88" s="48">
        <f>G84+G85+G86+G87</f>
        <v>10456.35</v>
      </c>
      <c r="H88" s="48">
        <f>H84+H85+H86+H87</f>
        <v>18823.27</v>
      </c>
      <c r="I88" s="48">
        <f>I84+I85+I86+I87</f>
        <v>7254.63</v>
      </c>
      <c r="J88" s="48">
        <f>J84+J85+J86+J87</f>
        <v>12445.52</v>
      </c>
      <c r="K88" s="48">
        <f>K84+K85+K86+K87</f>
        <v>16040.33</v>
      </c>
      <c r="L88" s="48">
        <f>L84+L85+L86+L87</f>
        <v>14927.89</v>
      </c>
      <c r="M88" s="48">
        <f>M84+M85+M86+M87</f>
        <v>9422.64</v>
      </c>
      <c r="N88" s="48">
        <f>N84+N85+N86+N87</f>
        <v>20480.78</v>
      </c>
      <c r="O88" s="48">
        <f>O84+O85+O86+O87</f>
        <v>15288.85</v>
      </c>
      <c r="P88" s="48">
        <f>P84+P85+P86+P87</f>
        <v>15662.7</v>
      </c>
      <c r="Q88" s="48">
        <f>Q84+Q85+Q86+Q87</f>
        <v>12532.62</v>
      </c>
      <c r="R88" s="48">
        <f>R84+R85+R86+R87</f>
        <v>12777.25</v>
      </c>
      <c r="S88" s="48">
        <f>S84+S85+S86+S87</f>
        <v>17279.85</v>
      </c>
      <c r="T88" s="48">
        <f>T84+T85+T86+T87</f>
        <v>16395.2</v>
      </c>
      <c r="U88" s="48">
        <f>U84+U85+U86+U87</f>
        <v>13064.98</v>
      </c>
      <c r="V88" s="48">
        <f>V84+V85+V86+V87</f>
        <v>13988.1</v>
      </c>
      <c r="W88" s="48">
        <f>W84+W85+W86+W87</f>
        <v>16070.12</v>
      </c>
      <c r="X88" s="49">
        <f>B88+C88+D88+E88+F88+G88+H88+I88+J88+K88+L88+M88+N88+O88+P88+Q88+R88+S88+T88+U88+V88+W88</f>
        <v>277741.23000000004</v>
      </c>
    </row>
    <row r="89" spans="1:24" ht="16">
      <c r="A89" s="37" t="s">
        <v>86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>
        <v>162.0</v>
      </c>
      <c r="S89" s="46"/>
      <c r="T89" s="46"/>
      <c r="U89" s="46"/>
      <c r="V89" s="47">
        <v>994.4</v>
      </c>
      <c r="W89" s="46"/>
      <c r="X89" s="47">
        <f>B89+C89+D89+E89+F89+G89+H89+I89+J89+K89+L89+M89+N89+O89+P89+Q89+R89+S89+T89+U89+V89+W89</f>
        <v>1156.4</v>
      </c>
    </row>
    <row r="90" spans="1:24" ht="16">
      <c r="A90" s="37" t="s">
        <v>87</v>
      </c>
      <c r="B90" s="46"/>
      <c r="C90" s="47">
        <v>3583.12</v>
      </c>
      <c r="D90" s="47">
        <v>200.55</v>
      </c>
      <c r="E90" s="47">
        <v>477.0</v>
      </c>
      <c r="F90" s="47">
        <v>387.26</v>
      </c>
      <c r="G90" s="47">
        <v>533.76</v>
      </c>
      <c r="H90" s="47">
        <v>372.76</v>
      </c>
      <c r="I90" s="47">
        <v>239.38</v>
      </c>
      <c r="J90" s="47">
        <v>903.13</v>
      </c>
      <c r="K90" s="47">
        <v>499.71</v>
      </c>
      <c r="L90" s="47">
        <v>61.49</v>
      </c>
      <c r="M90" s="47">
        <v>693.16</v>
      </c>
      <c r="N90" s="47">
        <v>446.9</v>
      </c>
      <c r="O90" s="47">
        <v>3136.26</v>
      </c>
      <c r="P90" s="47">
        <v>342.97</v>
      </c>
      <c r="Q90" s="47">
        <v>318.08</v>
      </c>
      <c r="R90" s="47">
        <v>2443.55</v>
      </c>
      <c r="S90" s="47">
        <v>778.47</v>
      </c>
      <c r="T90" s="47">
        <v>2855.85</v>
      </c>
      <c r="U90" s="47">
        <v>1037.07</v>
      </c>
      <c r="V90" s="47">
        <v>1502.0</v>
      </c>
      <c r="W90" s="47">
        <v>922.62</v>
      </c>
      <c r="X90" s="47">
        <f>B90+C90+D90+E90+F90+G90+H90+I90+J90+K90+L90+M90+N90+O90+P90+Q90+R90+S90+T90+U90+V90+W90</f>
        <v>21735.09</v>
      </c>
    </row>
    <row r="91" spans="1:24" ht="16">
      <c r="A91" s="37" t="s">
        <v>88</v>
      </c>
      <c r="B91" s="46"/>
      <c r="C91" s="46"/>
      <c r="D91" s="46"/>
      <c r="E91" s="46"/>
      <c r="F91" s="46"/>
      <c r="G91" s="46"/>
      <c r="H91" s="47">
        <v>5000.0</v>
      </c>
      <c r="I91" s="47">
        <v>5000.0</v>
      </c>
      <c r="J91" s="46"/>
      <c r="K91" s="46"/>
      <c r="L91" s="46"/>
      <c r="M91" s="46"/>
      <c r="N91" s="46"/>
      <c r="O91" s="46"/>
      <c r="P91" s="47">
        <v>25000.0</v>
      </c>
      <c r="Q91" s="46"/>
      <c r="R91" s="47">
        <v>20000.0</v>
      </c>
      <c r="S91" s="47">
        <v>2146.76</v>
      </c>
      <c r="T91" s="47">
        <v>5000.0</v>
      </c>
      <c r="U91" s="47">
        <v>6010.33</v>
      </c>
      <c r="V91" s="47">
        <v>21887.67</v>
      </c>
      <c r="W91" s="47">
        <v>18437.87</v>
      </c>
      <c r="X91" s="47">
        <f>B91+C91+D91+E91+F91+G91+H91+I91+J91+K91+L91+M91+N91+O91+P91+Q91+R91+S91+T91+U91+V91+W91</f>
        <v>108482.62999999999</v>
      </c>
    </row>
    <row r="92" spans="1:24" ht="16">
      <c r="A92" s="37" t="s">
        <v>89</v>
      </c>
      <c r="B92" s="46"/>
      <c r="C92" s="47">
        <v>870.0</v>
      </c>
      <c r="D92" s="46"/>
      <c r="E92" s="46"/>
      <c r="F92" s="46"/>
      <c r="G92" s="46"/>
      <c r="H92" s="47">
        <v>466.4</v>
      </c>
      <c r="I92" s="46"/>
      <c r="J92" s="46"/>
      <c r="K92" s="46"/>
      <c r="L92" s="46"/>
      <c r="M92" s="46"/>
      <c r="N92" s="46"/>
      <c r="O92" s="46"/>
      <c r="P92" s="47">
        <v>1300.0</v>
      </c>
      <c r="Q92" s="47">
        <v>2051.0</v>
      </c>
      <c r="R92" s="47">
        <v>1226.94</v>
      </c>
      <c r="S92" s="46"/>
      <c r="T92" s="46"/>
      <c r="U92" s="47">
        <v>700.0</v>
      </c>
      <c r="V92" s="46"/>
      <c r="W92" s="47">
        <v>983.3</v>
      </c>
      <c r="X92" s="47">
        <f>B92+C92+D92+E92+F92+G92+H92+I92+J92+K92+L92+M92+N92+O92+P92+Q92+R92+S92+T92+U92+V92+W92</f>
        <v>7597.64</v>
      </c>
    </row>
    <row r="93" spans="1:24" ht="16">
      <c r="A93" s="37" t="s">
        <v>90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spans="1:24" ht="16">
      <c r="A94" s="39" t="s">
        <v>91</v>
      </c>
      <c r="B94" s="46"/>
      <c r="C94" s="46"/>
      <c r="D94" s="46"/>
      <c r="E94" s="47">
        <v>2024.24</v>
      </c>
      <c r="F94" s="46"/>
      <c r="G94" s="47">
        <v>5454.42</v>
      </c>
      <c r="H94" s="47">
        <v>3829.31</v>
      </c>
      <c r="I94" s="47">
        <v>1131.47</v>
      </c>
      <c r="J94" s="46"/>
      <c r="K94" s="47">
        <v>1302.32</v>
      </c>
      <c r="L94" s="46"/>
      <c r="M94" s="47">
        <v>1996.94</v>
      </c>
      <c r="N94" s="47">
        <v>3644.77</v>
      </c>
      <c r="O94" s="47">
        <v>1546.97</v>
      </c>
      <c r="P94" s="47">
        <v>2970.88</v>
      </c>
      <c r="Q94" s="47">
        <v>1460.97</v>
      </c>
      <c r="R94" s="46"/>
      <c r="S94" s="47">
        <v>3246.82</v>
      </c>
      <c r="T94" s="47">
        <v>1635.21</v>
      </c>
      <c r="U94" s="47">
        <v>1718.63</v>
      </c>
      <c r="V94" s="47">
        <v>1617.65</v>
      </c>
      <c r="W94" s="46"/>
      <c r="X94" s="47">
        <f>B94+C94+D94+E94+F94+G94+H94+I94+J94+K94+L94+M94+N94+O94+P94+Q94+R94+S94+T94+U94+V94+W94</f>
        <v>33580.6</v>
      </c>
    </row>
    <row r="95" spans="1:24" ht="16">
      <c r="A95" s="39" t="s">
        <v>92</v>
      </c>
      <c r="B95" s="47">
        <v>23.07</v>
      </c>
      <c r="C95" s="47">
        <v>214.72</v>
      </c>
      <c r="D95" s="47">
        <v>214.72</v>
      </c>
      <c r="E95" s="47">
        <v>214.72</v>
      </c>
      <c r="F95" s="47">
        <v>214.72</v>
      </c>
      <c r="G95" s="47">
        <v>214.72</v>
      </c>
      <c r="H95" s="47">
        <v>214.72</v>
      </c>
      <c r="I95" s="47">
        <v>214.72</v>
      </c>
      <c r="J95" s="47">
        <v>214.72</v>
      </c>
      <c r="K95" s="47">
        <v>214.72</v>
      </c>
      <c r="L95" s="47">
        <v>214.72</v>
      </c>
      <c r="M95" s="47">
        <v>214.72</v>
      </c>
      <c r="N95" s="47">
        <v>214.72</v>
      </c>
      <c r="O95" s="47">
        <v>214.72</v>
      </c>
      <c r="P95" s="47">
        <v>214.72</v>
      </c>
      <c r="Q95" s="47">
        <v>214.72</v>
      </c>
      <c r="R95" s="47">
        <v>214.72</v>
      </c>
      <c r="S95" s="47">
        <v>214.72</v>
      </c>
      <c r="T95" s="47">
        <v>214.72</v>
      </c>
      <c r="U95" s="47">
        <v>214.72</v>
      </c>
      <c r="V95" s="47">
        <v>406.37</v>
      </c>
      <c r="W95" s="47">
        <v>23.07</v>
      </c>
      <c r="X95" s="47">
        <f>B95+C95+D95+E95+F95+G95+H95+I95+J95+K95+L95+M95+N95+O95+P95+Q95+R95+S95+T95+U95+V95+W95</f>
        <v>4532.189999999998</v>
      </c>
    </row>
    <row r="96" spans="1:24" ht="16">
      <c r="A96" s="39" t="s">
        <v>93</v>
      </c>
      <c r="B96" s="46"/>
      <c r="C96" s="47">
        <v>10064.86</v>
      </c>
      <c r="D96" s="47">
        <v>10155.62</v>
      </c>
      <c r="E96" s="47">
        <v>9731.0</v>
      </c>
      <c r="F96" s="47">
        <v>10080.0</v>
      </c>
      <c r="G96" s="47">
        <v>10414.83</v>
      </c>
      <c r="H96" s="47">
        <v>10170.62</v>
      </c>
      <c r="I96" s="47">
        <v>12118.17</v>
      </c>
      <c r="J96" s="47">
        <v>13578.79</v>
      </c>
      <c r="K96" s="47">
        <v>17080.09</v>
      </c>
      <c r="L96" s="47">
        <v>13485.99</v>
      </c>
      <c r="M96" s="47">
        <v>13064.77</v>
      </c>
      <c r="N96" s="47">
        <v>14153.55</v>
      </c>
      <c r="O96" s="47">
        <v>14050.3</v>
      </c>
      <c r="P96" s="47">
        <v>13484.8</v>
      </c>
      <c r="Q96" s="47">
        <v>12549.94</v>
      </c>
      <c r="R96" s="47">
        <v>13097.58</v>
      </c>
      <c r="S96" s="47">
        <v>28110.58</v>
      </c>
      <c r="T96" s="47">
        <v>13830.2</v>
      </c>
      <c r="U96" s="47">
        <v>13007.25</v>
      </c>
      <c r="V96" s="47">
        <v>16064.97</v>
      </c>
      <c r="W96" s="47">
        <v>17585.36</v>
      </c>
      <c r="X96" s="47">
        <f>B96+C96+D96+E96+F96+G96+H96+I96+J96+K96+L96+M96+N96+O96+P96+Q96+R96+S96+T96+U96+V96+W96</f>
        <v>285879.26999999996</v>
      </c>
    </row>
    <row r="97" spans="1:24" ht="16">
      <c r="A97" s="39" t="s">
        <v>94</v>
      </c>
      <c r="B97" s="47">
        <v>2482.46</v>
      </c>
      <c r="C97" s="47">
        <v>8416.27</v>
      </c>
      <c r="D97" s="47">
        <v>4429.06</v>
      </c>
      <c r="E97" s="47">
        <v>18723.58</v>
      </c>
      <c r="F97" s="47">
        <v>9505.28</v>
      </c>
      <c r="G97" s="47">
        <v>10618.96</v>
      </c>
      <c r="H97" s="47">
        <v>10818.69</v>
      </c>
      <c r="I97" s="47">
        <v>10870.06</v>
      </c>
      <c r="J97" s="47">
        <v>9625.12</v>
      </c>
      <c r="K97" s="47">
        <v>13048.98</v>
      </c>
      <c r="L97" s="47">
        <v>13179.46</v>
      </c>
      <c r="M97" s="47">
        <v>16166.16</v>
      </c>
      <c r="N97" s="47">
        <v>14097.8</v>
      </c>
      <c r="O97" s="47">
        <v>11870.51</v>
      </c>
      <c r="P97" s="47">
        <v>12429.51</v>
      </c>
      <c r="Q97" s="47">
        <v>14026.81</v>
      </c>
      <c r="R97" s="47">
        <v>15949.97</v>
      </c>
      <c r="S97" s="47">
        <v>15250.68</v>
      </c>
      <c r="T97" s="47">
        <v>15080.34</v>
      </c>
      <c r="U97" s="47">
        <v>14867.13</v>
      </c>
      <c r="V97" s="47">
        <v>16727.92</v>
      </c>
      <c r="W97" s="47">
        <v>15949.23</v>
      </c>
      <c r="X97" s="47">
        <f>B97+C97+D97+E97+F97+G97+H97+I97+J97+K97+L97+M97+N97+O97+P97+Q97+R97+S97+T97+U97+V97+W97</f>
        <v>274133.98</v>
      </c>
    </row>
    <row r="98" spans="1:24" ht="16">
      <c r="A98" s="41" t="s">
        <v>95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7">
        <v>2120.98</v>
      </c>
      <c r="T98" s="46"/>
      <c r="U98" s="46"/>
      <c r="V98" s="46"/>
      <c r="W98" s="46"/>
      <c r="X98" s="47">
        <f>B98+C98+D98+E98+F98+G98+H98+I98+J98+K98+L98+M98+N98+O98+P98+Q98+R98+S98+T98+U98+V98+W98</f>
        <v>2120.98</v>
      </c>
    </row>
    <row r="99" spans="1:24" ht="16">
      <c r="A99" s="41" t="s">
        <v>96</v>
      </c>
      <c r="B99" s="46"/>
      <c r="C99" s="46"/>
      <c r="D99" s="47">
        <v>500.0</v>
      </c>
      <c r="E99" s="47">
        <v>500.0</v>
      </c>
      <c r="F99" s="47">
        <v>750.0</v>
      </c>
      <c r="G99" s="47">
        <v>1018.63</v>
      </c>
      <c r="H99" s="47">
        <v>500.0</v>
      </c>
      <c r="I99" s="47">
        <v>500.0</v>
      </c>
      <c r="J99" s="47">
        <v>500.0</v>
      </c>
      <c r="K99" s="47">
        <v>1165.49</v>
      </c>
      <c r="L99" s="47">
        <v>500.0</v>
      </c>
      <c r="M99" s="47">
        <v>500.0</v>
      </c>
      <c r="N99" s="47">
        <v>1000.0</v>
      </c>
      <c r="O99" s="47">
        <v>1000.0</v>
      </c>
      <c r="P99" s="47">
        <v>1755.84</v>
      </c>
      <c r="Q99" s="47">
        <v>9638.49</v>
      </c>
      <c r="R99" s="47">
        <v>5881.27</v>
      </c>
      <c r="S99" s="47">
        <v>1000.0</v>
      </c>
      <c r="T99" s="46"/>
      <c r="U99" s="46"/>
      <c r="V99" s="46"/>
      <c r="W99" s="46"/>
      <c r="X99" s="47">
        <f>B99+C99+D99+E99+F99+G99+H99+I99+J99+K99+L99+M99+N99+O99+P99+Q99+R99+S99+T99+U99+V99+W99</f>
        <v>26709.719999999998</v>
      </c>
    </row>
    <row r="100" spans="1:24" ht="16">
      <c r="A100" s="41" t="s">
        <v>97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7">
        <v>283.77</v>
      </c>
      <c r="V100" s="46"/>
      <c r="W100" s="46"/>
      <c r="X100" s="47">
        <f>B100+C100+D100+E100+F100+G100+H100+I100+J100+K100+L100+M100+N100+O100+P100+Q100+R100+S100+T100+U100+V100+W100</f>
        <v>283.77</v>
      </c>
    </row>
    <row r="101" spans="1:24" ht="16">
      <c r="A101" s="41" t="s">
        <v>98</v>
      </c>
      <c r="B101" s="47">
        <v>500.0</v>
      </c>
      <c r="C101" s="47">
        <v>1500.0</v>
      </c>
      <c r="D101" s="47">
        <v>3863.0</v>
      </c>
      <c r="E101" s="47">
        <v>1045.22</v>
      </c>
      <c r="F101" s="47">
        <v>1000.0</v>
      </c>
      <c r="G101" s="47">
        <v>1500.0</v>
      </c>
      <c r="H101" s="47">
        <v>4363.0</v>
      </c>
      <c r="I101" s="47">
        <v>1000.0</v>
      </c>
      <c r="J101" s="47">
        <v>1000.0</v>
      </c>
      <c r="K101" s="47">
        <v>1000.0</v>
      </c>
      <c r="L101" s="47">
        <v>1000.0</v>
      </c>
      <c r="M101" s="47">
        <v>4411.96</v>
      </c>
      <c r="N101" s="47">
        <v>58.52</v>
      </c>
      <c r="O101" s="46"/>
      <c r="P101" s="46"/>
      <c r="Q101" s="46"/>
      <c r="R101" s="47">
        <v>45.03</v>
      </c>
      <c r="S101" s="46"/>
      <c r="T101" s="46"/>
      <c r="U101" s="46"/>
      <c r="V101" s="46"/>
      <c r="W101" s="46"/>
      <c r="X101" s="47">
        <f>B101+C101+D101+E101+F101+G101+H101+I101+J101+K101+L101+M101+N101+O101+P101+Q101+R101+S101+T101+U101+V101+W101</f>
        <v>22286.73</v>
      </c>
    </row>
    <row r="102" spans="1:24" ht="16">
      <c r="A102" s="42" t="s">
        <v>99</v>
      </c>
      <c r="B102" s="48">
        <f>B97+B98+B99+B100+B101</f>
        <v>2982.46</v>
      </c>
      <c r="C102" s="48">
        <f>C97+C98+C99+C100+C101</f>
        <v>9916.27</v>
      </c>
      <c r="D102" s="48">
        <f>D97+D98+D99+D100+D101</f>
        <v>8792.060000000001</v>
      </c>
      <c r="E102" s="48">
        <f>E97+E98+E99+E100+E101</f>
        <v>20268.800000000003</v>
      </c>
      <c r="F102" s="48">
        <f>F97+F98+F99+F100+F101</f>
        <v>11255.28</v>
      </c>
      <c r="G102" s="48">
        <f>G97+G98+G99+G100+G101</f>
        <v>13137.589999999998</v>
      </c>
      <c r="H102" s="48">
        <f>H97+H98+H99+H100+H101</f>
        <v>15681.69</v>
      </c>
      <c r="I102" s="48">
        <f>I97+I98+I99+I100+I101</f>
        <v>12370.06</v>
      </c>
      <c r="J102" s="48">
        <f>J97+J98+J99+J100+J101</f>
        <v>11125.12</v>
      </c>
      <c r="K102" s="48">
        <f>K97+K98+K99+K100+K101</f>
        <v>15214.47</v>
      </c>
      <c r="L102" s="48">
        <f>L97+L98+L99+L100+L101</f>
        <v>14679.46</v>
      </c>
      <c r="M102" s="48">
        <f>M97+M98+M99+M100+M101</f>
        <v>21078.12</v>
      </c>
      <c r="N102" s="48">
        <f>N97+N98+N99+N100+N101</f>
        <v>15156.32</v>
      </c>
      <c r="O102" s="48">
        <f>O97+O98+O99+O100+O101</f>
        <v>12870.51</v>
      </c>
      <c r="P102" s="48">
        <f>P97+P98+P99+P100+P101</f>
        <v>14185.35</v>
      </c>
      <c r="Q102" s="48">
        <f>Q97+Q98+Q99+Q100+Q101</f>
        <v>23665.3</v>
      </c>
      <c r="R102" s="48">
        <f>R97+R98+R99+R100+R101</f>
        <v>21876.269999999997</v>
      </c>
      <c r="S102" s="48">
        <f>S97+S98+S99+S100+S101</f>
        <v>18371.66</v>
      </c>
      <c r="T102" s="48">
        <f>T97+T98+T99+T100+T101</f>
        <v>15080.34</v>
      </c>
      <c r="U102" s="48">
        <f>U97+U98+U99+U100+U101</f>
        <v>15150.9</v>
      </c>
      <c r="V102" s="48">
        <f>V97+V98+V99+V100+V101</f>
        <v>16727.92</v>
      </c>
      <c r="W102" s="48">
        <f>W97+W98+W99+W100+W101</f>
        <v>15949.23</v>
      </c>
      <c r="X102" s="49">
        <f>B102+C102+D102+E102+F102+G102+H102+I102+J102+K102+L102+M102+N102+O102+P102+Q102+R102+S102+T102+U102+V102+W102</f>
        <v>325535.18</v>
      </c>
    </row>
    <row r="103" spans="1:24" ht="16">
      <c r="A103" s="39" t="s">
        <v>100</v>
      </c>
      <c r="B103" s="47">
        <v>11794.7</v>
      </c>
      <c r="C103" s="47">
        <v>16561.61</v>
      </c>
      <c r="D103" s="47">
        <v>25801.73</v>
      </c>
      <c r="E103" s="47">
        <v>25972.25</v>
      </c>
      <c r="F103" s="47">
        <v>23037.16</v>
      </c>
      <c r="G103" s="47">
        <v>22695.66</v>
      </c>
      <c r="H103" s="47">
        <v>23526.62</v>
      </c>
      <c r="I103" s="47">
        <v>24088.4</v>
      </c>
      <c r="J103" s="47">
        <v>22991.23</v>
      </c>
      <c r="K103" s="47">
        <v>32986.36</v>
      </c>
      <c r="L103" s="47">
        <v>32800.62</v>
      </c>
      <c r="M103" s="47">
        <v>40385.45</v>
      </c>
      <c r="N103" s="47">
        <v>35331.19</v>
      </c>
      <c r="O103" s="47">
        <v>29023.8</v>
      </c>
      <c r="P103" s="47">
        <v>32171.58</v>
      </c>
      <c r="Q103" s="47">
        <v>35487.09</v>
      </c>
      <c r="R103" s="47">
        <v>40274.75</v>
      </c>
      <c r="S103" s="47">
        <v>38343.84</v>
      </c>
      <c r="T103" s="47">
        <v>39025.42</v>
      </c>
      <c r="U103" s="47">
        <v>39828.97</v>
      </c>
      <c r="V103" s="47">
        <v>43590.5</v>
      </c>
      <c r="W103" s="47">
        <v>41186.97</v>
      </c>
      <c r="X103" s="47">
        <f>B103+C103+D103+E103+F103+G103+H103+I103+J103+K103+L103+M103+N103+O103+P103+Q103+R103+S103+T103+U103+V103+W103</f>
        <v>676905.9</v>
      </c>
    </row>
    <row r="104" spans="1:24" ht="16">
      <c r="A104" s="39" t="s">
        <v>101</v>
      </c>
      <c r="B104" s="47">
        <v>1315.99</v>
      </c>
      <c r="C104" s="47">
        <v>14543.49</v>
      </c>
      <c r="D104" s="47">
        <v>14979.61</v>
      </c>
      <c r="E104" s="47">
        <v>14310.07</v>
      </c>
      <c r="F104" s="47">
        <v>15485.18</v>
      </c>
      <c r="G104" s="47">
        <v>14965.98</v>
      </c>
      <c r="H104" s="47">
        <v>14856.04</v>
      </c>
      <c r="I104" s="47">
        <v>14396.69</v>
      </c>
      <c r="J104" s="47">
        <v>11520.86</v>
      </c>
      <c r="K104" s="47">
        <v>11417.61</v>
      </c>
      <c r="L104" s="47">
        <v>11618.95</v>
      </c>
      <c r="M104" s="47">
        <v>12286.66</v>
      </c>
      <c r="N104" s="47">
        <v>11481.81</v>
      </c>
      <c r="O104" s="47">
        <v>11902.07</v>
      </c>
      <c r="P104" s="47">
        <v>12277.33</v>
      </c>
      <c r="Q104" s="47">
        <v>12538.78</v>
      </c>
      <c r="R104" s="47">
        <v>12070.92</v>
      </c>
      <c r="S104" s="47">
        <v>11813.41</v>
      </c>
      <c r="T104" s="47">
        <v>14276.98</v>
      </c>
      <c r="U104" s="47">
        <v>12242.65</v>
      </c>
      <c r="V104" s="47">
        <v>13176.99</v>
      </c>
      <c r="W104" s="47">
        <v>12410.31</v>
      </c>
      <c r="X104" s="47">
        <f>B104+C104+D104+E104+F104+G104+H104+I104+J104+K104+L104+M104+N104+O104+P104+Q104+R104+S104+T104+U104+V104+W104</f>
        <v>275888.38000000006</v>
      </c>
    </row>
    <row r="105" spans="1:24" ht="16">
      <c r="A105" s="40" t="s">
        <v>102</v>
      </c>
      <c r="B105" s="48">
        <f>B93+B94+B95+B96+B102+B103+B104</f>
        <v>16116.220000000001</v>
      </c>
      <c r="C105" s="48">
        <f>C93+C94+C95+C96+C102+C103+C104</f>
        <v>51300.95</v>
      </c>
      <c r="D105" s="48">
        <f>D93+D94+D95+D96+D102+D103+D104</f>
        <v>59943.740000000005</v>
      </c>
      <c r="E105" s="48">
        <f>E93+E94+E95+E96+E102+E103+E104</f>
        <v>72521.08</v>
      </c>
      <c r="F105" s="48">
        <f>F93+F94+F95+F96+F102+F103+F104</f>
        <v>60072.340000000004</v>
      </c>
      <c r="G105" s="48">
        <f>G93+G94+G95+G96+G102+G103+G104</f>
        <v>66883.2</v>
      </c>
      <c r="H105" s="48">
        <f>H93+H94+H95+H96+H102+H103+H104</f>
        <v>68279.0</v>
      </c>
      <c r="I105" s="48">
        <f>I93+I94+I95+I96+I102+I103+I104</f>
        <v>64319.51</v>
      </c>
      <c r="J105" s="48">
        <f>J93+J94+J95+J96+J102+J103+J104</f>
        <v>59430.72</v>
      </c>
      <c r="K105" s="48">
        <f>K93+K94+K95+K96+K102+K103+K104</f>
        <v>78215.56999999999</v>
      </c>
      <c r="L105" s="48">
        <f>L93+L94+L95+L96+L102+L103+L104</f>
        <v>72799.74</v>
      </c>
      <c r="M105" s="48">
        <f>M93+M94+M95+M96+M102+M103+M104</f>
        <v>89026.66</v>
      </c>
      <c r="N105" s="48">
        <f>N93+N94+N95+N96+N102+N103+N104</f>
        <v>79982.36</v>
      </c>
      <c r="O105" s="48">
        <f>O93+O94+O95+O96+O102+O103+O104</f>
        <v>69608.37</v>
      </c>
      <c r="P105" s="48">
        <f>P93+P94+P95+P96+P102+P103+P104</f>
        <v>75304.66</v>
      </c>
      <c r="Q105" s="48">
        <f>Q93+Q94+Q95+Q96+Q102+Q103+Q104</f>
        <v>85916.79999999999</v>
      </c>
      <c r="R105" s="48">
        <f>R93+R94+R95+R96+R102+R103+R104</f>
        <v>87534.23999999999</v>
      </c>
      <c r="S105" s="48">
        <f>S93+S94+S95+S96+S102+S103+S104</f>
        <v>100101.03</v>
      </c>
      <c r="T105" s="48">
        <f>T93+T94+T95+T96+T102+T103+T104</f>
        <v>84062.87</v>
      </c>
      <c r="U105" s="48">
        <f>U93+U94+U95+U96+U102+U103+U104</f>
        <v>82163.12</v>
      </c>
      <c r="V105" s="48">
        <f>V93+V94+V95+V96+V102+V103+V104</f>
        <v>91584.40000000001</v>
      </c>
      <c r="W105" s="48">
        <f>W93+W94+W95+W96+W102+W103+W104</f>
        <v>87154.94</v>
      </c>
      <c r="X105" s="49">
        <f>B105+C105+D105+E105+F105+G105+H105+I105+J105+K105+L105+M105+N105+O105+P105+Q105+R105+S105+T105+U105+V105+W105</f>
        <v>1602321.52</v>
      </c>
    </row>
    <row r="106" spans="1:24" ht="16">
      <c r="A106" s="37" t="s">
        <v>103</v>
      </c>
      <c r="B106" s="47">
        <v>43.3</v>
      </c>
      <c r="C106" s="47">
        <v>423.35</v>
      </c>
      <c r="D106" s="47">
        <v>436.05</v>
      </c>
      <c r="E106" s="47">
        <v>29.33</v>
      </c>
      <c r="F106" s="47">
        <v>11.91</v>
      </c>
      <c r="G106" s="46"/>
      <c r="H106" s="47">
        <v>277.47</v>
      </c>
      <c r="I106" s="46"/>
      <c r="J106" s="47">
        <v>17.23</v>
      </c>
      <c r="K106" s="47">
        <v>30.18</v>
      </c>
      <c r="L106" s="47">
        <v>226.25</v>
      </c>
      <c r="M106" s="47">
        <v>11.91</v>
      </c>
      <c r="N106" s="47">
        <v>688.33</v>
      </c>
      <c r="O106" s="47">
        <v>95.37</v>
      </c>
      <c r="P106" s="47">
        <v>552.66</v>
      </c>
      <c r="Q106" s="47">
        <v>147.81</v>
      </c>
      <c r="R106" s="47">
        <v>653.88</v>
      </c>
      <c r="S106" s="47">
        <v>761.27</v>
      </c>
      <c r="T106" s="47">
        <v>1138.82</v>
      </c>
      <c r="U106" s="46"/>
      <c r="V106" s="47">
        <v>905.85</v>
      </c>
      <c r="W106" s="47">
        <v>718.63</v>
      </c>
      <c r="X106" s="47">
        <f>B106+C106+D106+E106+F106+G106+H106+I106+J106+K106+L106+M106+N106+O106+P106+Q106+R106+S106+T106+U106+V106+W106</f>
        <v>7169.6</v>
      </c>
    </row>
    <row r="107" spans="1:24" ht="16">
      <c r="A107" s="37" t="s">
        <v>104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 spans="1:24" ht="16">
      <c r="A108" s="39" t="s">
        <v>105</v>
      </c>
      <c r="B108" s="46"/>
      <c r="C108" s="46"/>
      <c r="D108" s="47">
        <v>115.7</v>
      </c>
      <c r="E108" s="46"/>
      <c r="F108" s="46"/>
      <c r="G108" s="46"/>
      <c r="H108" s="46"/>
      <c r="I108" s="47">
        <v>894.6</v>
      </c>
      <c r="J108" s="46"/>
      <c r="K108" s="46"/>
      <c r="L108" s="46"/>
      <c r="M108" s="47">
        <v>295.41</v>
      </c>
      <c r="N108" s="46"/>
      <c r="O108" s="47">
        <v>346.38</v>
      </c>
      <c r="P108" s="47">
        <v>320.4</v>
      </c>
      <c r="Q108" s="46"/>
      <c r="R108" s="47">
        <v>1100.92</v>
      </c>
      <c r="S108" s="47">
        <v>2737.34</v>
      </c>
      <c r="T108" s="47">
        <v>786.8</v>
      </c>
      <c r="U108" s="47">
        <v>579.4</v>
      </c>
      <c r="V108" s="46"/>
      <c r="W108" s="46"/>
      <c r="X108" s="47">
        <f>B108+C108+D108+E108+F108+G108+H108+I108+J108+K108+L108+M108+N108+O108+P108+Q108+R108+S108+T108+U108+V108+W108</f>
        <v>7176.95</v>
      </c>
    </row>
    <row r="109" spans="1:24" ht="16">
      <c r="A109" s="39" t="s">
        <v>106</v>
      </c>
      <c r="B109" s="46"/>
      <c r="C109" s="46"/>
      <c r="D109" s="46"/>
      <c r="E109" s="46"/>
      <c r="F109" s="47">
        <v>180.17</v>
      </c>
      <c r="G109" s="46"/>
      <c r="H109" s="46"/>
      <c r="I109" s="47">
        <v>130.64</v>
      </c>
      <c r="J109" s="46"/>
      <c r="K109" s="47">
        <v>471.24</v>
      </c>
      <c r="L109" s="47">
        <v>899.98</v>
      </c>
      <c r="M109" s="47">
        <v>2011.48</v>
      </c>
      <c r="N109" s="47">
        <v>263.2</v>
      </c>
      <c r="O109" s="46"/>
      <c r="P109" s="46"/>
      <c r="Q109" s="46"/>
      <c r="R109" s="47">
        <v>1473.42</v>
      </c>
      <c r="S109" s="47">
        <v>1356.6</v>
      </c>
      <c r="T109" s="46"/>
      <c r="U109" s="47">
        <v>328.44</v>
      </c>
      <c r="V109" s="46"/>
      <c r="W109" s="46"/>
      <c r="X109" s="47">
        <f>B109+C109+D109+E109+F109+G109+H109+I109+J109+K109+L109+M109+N109+O109+P109+Q109+R109+S109+T109+U109+V109+W109</f>
        <v>7115.169999999999</v>
      </c>
    </row>
    <row r="110" spans="1:24" ht="16">
      <c r="A110" s="39" t="s">
        <v>107</v>
      </c>
      <c r="B110" s="46"/>
      <c r="C110" s="47">
        <v>53.64</v>
      </c>
      <c r="D110" s="47">
        <v>263.54</v>
      </c>
      <c r="E110" s="47">
        <v>50.43</v>
      </c>
      <c r="F110" s="47">
        <v>95.09</v>
      </c>
      <c r="G110" s="47">
        <v>23.63</v>
      </c>
      <c r="H110" s="47">
        <v>24.78</v>
      </c>
      <c r="I110" s="47">
        <v>113.83</v>
      </c>
      <c r="J110" s="46"/>
      <c r="K110" s="47">
        <v>67.03</v>
      </c>
      <c r="L110" s="47">
        <v>16.88</v>
      </c>
      <c r="M110" s="47">
        <v>59.82</v>
      </c>
      <c r="N110" s="47">
        <v>104.1</v>
      </c>
      <c r="O110" s="47">
        <v>47.91</v>
      </c>
      <c r="P110" s="47">
        <v>151.62</v>
      </c>
      <c r="Q110" s="47">
        <v>127.12</v>
      </c>
      <c r="R110" s="47">
        <v>437.41</v>
      </c>
      <c r="S110" s="46"/>
      <c r="T110" s="47">
        <v>28.95</v>
      </c>
      <c r="U110" s="47">
        <v>103.92</v>
      </c>
      <c r="V110" s="47">
        <v>67.97</v>
      </c>
      <c r="W110" s="47">
        <v>32.75</v>
      </c>
      <c r="X110" s="47">
        <f>B110+C110+D110+E110+F110+G110+H110+I110+J110+K110+L110+M110+N110+O110+P110+Q110+R110+S110+T110+U110+V110+W110</f>
        <v>1870.4200000000003</v>
      </c>
    </row>
    <row r="111" spans="1:24" ht="16">
      <c r="A111" s="40" t="s">
        <v>108</v>
      </c>
      <c r="B111" s="49">
        <f>B107+B108+B109+B110</f>
        <v>0.0</v>
      </c>
      <c r="C111" s="48">
        <f>C107+C108+C109+C110</f>
        <v>53.64</v>
      </c>
      <c r="D111" s="48">
        <f>D107+D108+D109+D110</f>
        <v>379.24</v>
      </c>
      <c r="E111" s="48">
        <f>E107+E108+E109+E110</f>
        <v>50.43</v>
      </c>
      <c r="F111" s="48">
        <f>F107+F108+F109+F110</f>
        <v>275.26</v>
      </c>
      <c r="G111" s="48">
        <f>G107+G108+G109+G110</f>
        <v>23.63</v>
      </c>
      <c r="H111" s="48">
        <f>H107+H108+H109+H110</f>
        <v>24.78</v>
      </c>
      <c r="I111" s="48">
        <f>I107+I108+I109+I110</f>
        <v>1139.07</v>
      </c>
      <c r="J111" s="49">
        <f>J107+J108+J109+J110</f>
        <v>0.0</v>
      </c>
      <c r="K111" s="48">
        <f>K107+K108+K109+K110</f>
        <v>538.27</v>
      </c>
      <c r="L111" s="48">
        <f>L107+L108+L109+L110</f>
        <v>916.86</v>
      </c>
      <c r="M111" s="48">
        <f>M107+M108+M109+M110</f>
        <v>2366.71</v>
      </c>
      <c r="N111" s="48">
        <f>N107+N108+N109+N110</f>
        <v>367.29999999999995</v>
      </c>
      <c r="O111" s="48">
        <f>O107+O108+O109+O110</f>
        <v>394.28999999999996</v>
      </c>
      <c r="P111" s="48">
        <f>P107+P108+P109+P110</f>
        <v>472.02</v>
      </c>
      <c r="Q111" s="48">
        <f>Q107+Q108+Q109+Q110</f>
        <v>127.12</v>
      </c>
      <c r="R111" s="48">
        <f>R107+R108+R109+R110</f>
        <v>3011.75</v>
      </c>
      <c r="S111" s="48">
        <f>S107+S108+S109+S110</f>
        <v>4093.94</v>
      </c>
      <c r="T111" s="48">
        <f>T107+T108+T109+T110</f>
        <v>815.75</v>
      </c>
      <c r="U111" s="48">
        <f>U107+U108+U109+U110</f>
        <v>1011.7599999999999</v>
      </c>
      <c r="V111" s="48">
        <f>V107+V108+V109+V110</f>
        <v>67.97</v>
      </c>
      <c r="W111" s="48">
        <f>W107+W108+W109+W110</f>
        <v>32.75</v>
      </c>
      <c r="X111" s="49">
        <f>B111+C111+D111+E111+F111+G111+H111+I111+J111+K111+L111+M111+N111+O111+P111+Q111+R111+S111+T111+U111+V111+W111</f>
        <v>16162.539999999999</v>
      </c>
    </row>
    <row r="112" spans="1:24" ht="16">
      <c r="A112" s="37" t="s">
        <v>109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 spans="1:24" ht="16">
      <c r="A113" s="39" t="s">
        <v>110</v>
      </c>
      <c r="B113" s="47">
        <v>2025.08</v>
      </c>
      <c r="C113" s="47">
        <v>8153.95</v>
      </c>
      <c r="D113" s="47">
        <v>12349.65</v>
      </c>
      <c r="E113" s="47">
        <v>19001.74</v>
      </c>
      <c r="F113" s="47">
        <v>13239.22</v>
      </c>
      <c r="G113" s="47">
        <v>11446.36</v>
      </c>
      <c r="H113" s="47">
        <v>9615.66</v>
      </c>
      <c r="I113" s="47">
        <v>10403.05</v>
      </c>
      <c r="J113" s="47">
        <v>17824.86</v>
      </c>
      <c r="K113" s="47">
        <v>15560.81</v>
      </c>
      <c r="L113" s="47">
        <v>26696.6</v>
      </c>
      <c r="M113" s="47">
        <v>32604.14</v>
      </c>
      <c r="N113" s="47">
        <v>27954.24</v>
      </c>
      <c r="O113" s="47">
        <v>30154.55</v>
      </c>
      <c r="P113" s="47">
        <v>35443.37</v>
      </c>
      <c r="Q113" s="47">
        <v>29848.48</v>
      </c>
      <c r="R113" s="47">
        <v>34254.82</v>
      </c>
      <c r="S113" s="47">
        <v>33886.32</v>
      </c>
      <c r="T113" s="47">
        <v>27624.13</v>
      </c>
      <c r="U113" s="47">
        <v>32703.32</v>
      </c>
      <c r="V113" s="47">
        <v>37153.46</v>
      </c>
      <c r="W113" s="47">
        <v>30641.42</v>
      </c>
      <c r="X113" s="47">
        <f>B113+C113+D113+E113+F113+G113+H113+I113+J113+K113+L113+M113+N113+O113+P113+Q113+R113+S113+T113+U113+V113+W113</f>
        <v>498585.23</v>
      </c>
    </row>
    <row r="114" spans="1:24" ht="16">
      <c r="A114" s="39" t="s">
        <v>111</v>
      </c>
      <c r="B114" s="47">
        <v>6375.0</v>
      </c>
      <c r="C114" s="47">
        <v>6375.0</v>
      </c>
      <c r="D114" s="47">
        <v>6375.0</v>
      </c>
      <c r="E114" s="47">
        <v>6375.0</v>
      </c>
      <c r="F114" s="46"/>
      <c r="G114" s="47">
        <v>6375.0</v>
      </c>
      <c r="H114" s="47">
        <v>6375.0</v>
      </c>
      <c r="I114" s="47">
        <v>6375.0</v>
      </c>
      <c r="J114" s="47">
        <v>6375.0</v>
      </c>
      <c r="K114" s="47">
        <v>6375.0</v>
      </c>
      <c r="L114" s="47">
        <v>6842.44</v>
      </c>
      <c r="M114" s="47">
        <v>6375.0</v>
      </c>
      <c r="N114" s="47">
        <v>6375.0</v>
      </c>
      <c r="O114" s="47">
        <v>7236.0</v>
      </c>
      <c r="P114" s="47">
        <v>18641.8</v>
      </c>
      <c r="Q114" s="46"/>
      <c r="R114" s="47">
        <v>2291.04</v>
      </c>
      <c r="S114" s="46"/>
      <c r="T114" s="47">
        <v>23488.17</v>
      </c>
      <c r="U114" s="46"/>
      <c r="V114" s="46"/>
      <c r="W114" s="47">
        <v>19054.42</v>
      </c>
      <c r="X114" s="47">
        <f>B114+C114+D114+E114+F114+G114+H114+I114+J114+K114+L114+M114+N114+O114+P114+Q114+R114+S114+T114+U114+V114+W114</f>
        <v>147678.87</v>
      </c>
    </row>
    <row r="115" spans="1:24" ht="16">
      <c r="A115" s="39" t="s">
        <v>112</v>
      </c>
      <c r="B115" s="46"/>
      <c r="C115" s="47">
        <v>3100.0</v>
      </c>
      <c r="D115" s="47">
        <v>368.48</v>
      </c>
      <c r="E115" s="46"/>
      <c r="F115" s="46"/>
      <c r="G115" s="46"/>
      <c r="H115" s="47">
        <v>3205.95</v>
      </c>
      <c r="I115" s="47">
        <v>368.48</v>
      </c>
      <c r="J115" s="46"/>
      <c r="K115" s="46"/>
      <c r="L115" s="47">
        <v>3100.0</v>
      </c>
      <c r="M115" s="47">
        <v>270.94</v>
      </c>
      <c r="N115" s="46"/>
      <c r="O115" s="47">
        <v>308.5</v>
      </c>
      <c r="P115" s="47">
        <v>3100.0</v>
      </c>
      <c r="Q115" s="47">
        <v>1104.55</v>
      </c>
      <c r="R115" s="47">
        <v>991.78</v>
      </c>
      <c r="S115" s="47">
        <v>10775.0</v>
      </c>
      <c r="T115" s="47">
        <v>3875.0</v>
      </c>
      <c r="U115" s="47">
        <v>270.94</v>
      </c>
      <c r="V115" s="46"/>
      <c r="W115" s="47">
        <v>8550.0</v>
      </c>
      <c r="X115" s="47">
        <f>B115+C115+D115+E115+F115+G115+H115+I115+J115+K115+L115+M115+N115+O115+P115+Q115+R115+S115+T115+U115+V115+W115</f>
        <v>39389.619999999995</v>
      </c>
    </row>
    <row r="116" spans="1:24" ht="16">
      <c r="A116" s="39" t="s">
        <v>113</v>
      </c>
      <c r="B116" s="46"/>
      <c r="C116" s="46"/>
      <c r="D116" s="46"/>
      <c r="E116" s="46"/>
      <c r="F116" s="46"/>
      <c r="G116" s="46"/>
      <c r="H116" s="46"/>
      <c r="I116" s="47">
        <v>3734.48</v>
      </c>
      <c r="J116" s="46"/>
      <c r="K116" s="47">
        <v>405.23</v>
      </c>
      <c r="L116" s="46"/>
      <c r="M116" s="46"/>
      <c r="N116" s="46"/>
      <c r="O116" s="46"/>
      <c r="P116" s="47">
        <v>452.18</v>
      </c>
      <c r="Q116" s="46"/>
      <c r="R116" s="47">
        <v>-750.0</v>
      </c>
      <c r="S116" s="46"/>
      <c r="T116" s="46"/>
      <c r="U116" s="47">
        <v>568.15</v>
      </c>
      <c r="V116" s="46"/>
      <c r="W116" s="46"/>
      <c r="X116" s="47">
        <f>B116+C116+D116+E116+F116+G116+H116+I116+J116+K116+L116+M116+N116+O116+P116+Q116+R116+S116+T116+U116+V116+W116</f>
        <v>4410.04</v>
      </c>
    </row>
    <row r="117" spans="1:24" ht="16">
      <c r="A117" s="39" t="s">
        <v>114</v>
      </c>
      <c r="B117" s="46"/>
      <c r="C117" s="47">
        <v>2520.0</v>
      </c>
      <c r="D117" s="47">
        <v>876.73</v>
      </c>
      <c r="E117" s="47">
        <v>4222.31</v>
      </c>
      <c r="F117" s="46"/>
      <c r="G117" s="47">
        <v>8520.0</v>
      </c>
      <c r="H117" s="47">
        <v>6000.0</v>
      </c>
      <c r="I117" s="47">
        <v>15534.56</v>
      </c>
      <c r="J117" s="46"/>
      <c r="K117" s="47">
        <v>12030.32</v>
      </c>
      <c r="L117" s="47">
        <v>1402.12</v>
      </c>
      <c r="M117" s="47">
        <v>17551.63</v>
      </c>
      <c r="N117" s="47">
        <v>2171.98</v>
      </c>
      <c r="O117" s="47">
        <v>5029.93</v>
      </c>
      <c r="P117" s="46"/>
      <c r="Q117" s="47">
        <v>5643.86</v>
      </c>
      <c r="R117" s="47">
        <v>12330.55</v>
      </c>
      <c r="S117" s="47">
        <v>16651.04</v>
      </c>
      <c r="T117" s="47">
        <v>6081.36</v>
      </c>
      <c r="U117" s="47">
        <v>22553.49</v>
      </c>
      <c r="V117" s="47">
        <v>13482.75</v>
      </c>
      <c r="W117" s="47">
        <v>8367.4</v>
      </c>
      <c r="X117" s="47">
        <f>B117+C117+D117+E117+F117+G117+H117+I117+J117+K117+L117+M117+N117+O117+P117+Q117+R117+S117+T117+U117+V117+W117</f>
        <v>160970.03</v>
      </c>
    </row>
    <row r="118" spans="1:24" ht="16">
      <c r="A118" s="39" t="s">
        <v>115</v>
      </c>
      <c r="B118" s="46"/>
      <c r="C118" s="46"/>
      <c r="D118" s="46"/>
      <c r="E118" s="47">
        <v>387.0</v>
      </c>
      <c r="F118" s="46"/>
      <c r="G118" s="51">
        <v>0</v>
      </c>
      <c r="H118" s="47">
        <v>1399.91</v>
      </c>
      <c r="I118" s="47">
        <v>917.0</v>
      </c>
      <c r="J118" s="47">
        <v>490.9</v>
      </c>
      <c r="K118" s="47">
        <v>179.74</v>
      </c>
      <c r="L118" s="47">
        <v>674.26</v>
      </c>
      <c r="M118" s="46"/>
      <c r="N118" s="46"/>
      <c r="O118" s="46"/>
      <c r="P118" s="46"/>
      <c r="Q118" s="46"/>
      <c r="R118" s="46"/>
      <c r="S118" s="47">
        <v>800.0</v>
      </c>
      <c r="T118" s="46"/>
      <c r="U118" s="47">
        <v>1009.56</v>
      </c>
      <c r="V118" s="46"/>
      <c r="W118" s="46"/>
      <c r="X118" s="47">
        <f>B118+C118+D118+E118+F118+G118+H118+I118+J118+K118+L118+M118+N118+O118+P118+Q118+R118+S118+T118+U118+V118+W118</f>
        <v>5858.370000000001</v>
      </c>
    </row>
    <row r="119" spans="1:24" ht="16">
      <c r="A119" s="39" t="s">
        <v>116</v>
      </c>
      <c r="B119" s="46"/>
      <c r="C119" s="47">
        <v>7585.26</v>
      </c>
      <c r="D119" s="47">
        <v>17985.0</v>
      </c>
      <c r="E119" s="46"/>
      <c r="F119" s="47">
        <v>24113.72</v>
      </c>
      <c r="G119" s="47">
        <v>3493.26</v>
      </c>
      <c r="H119" s="47">
        <v>15213.94</v>
      </c>
      <c r="I119" s="47">
        <v>44171.92</v>
      </c>
      <c r="J119" s="47">
        <v>1544.93</v>
      </c>
      <c r="K119" s="46"/>
      <c r="L119" s="47">
        <v>9386.35</v>
      </c>
      <c r="M119" s="47">
        <v>9425.32</v>
      </c>
      <c r="N119" s="47">
        <v>44671.55</v>
      </c>
      <c r="O119" s="46"/>
      <c r="P119" s="47">
        <v>7957.68</v>
      </c>
      <c r="Q119" s="47">
        <v>4709.5</v>
      </c>
      <c r="R119" s="47">
        <v>10162.22</v>
      </c>
      <c r="S119" s="47">
        <v>46846.45</v>
      </c>
      <c r="T119" s="47">
        <v>22431.28</v>
      </c>
      <c r="U119" s="46"/>
      <c r="V119" s="47">
        <v>10591.86</v>
      </c>
      <c r="W119" s="47">
        <v>83676.13</v>
      </c>
      <c r="X119" s="47">
        <f>B119+C119+D119+E119+F119+G119+H119+I119+J119+K119+L119+M119+N119+O119+P119+Q119+R119+S119+T119+U119+V119+W119</f>
        <v>363966.37</v>
      </c>
    </row>
    <row r="120" spans="1:24" ht="16">
      <c r="A120" s="39" t="s">
        <v>117</v>
      </c>
      <c r="B120" s="47">
        <v>1772.85</v>
      </c>
      <c r="C120" s="46"/>
      <c r="D120" s="46"/>
      <c r="E120" s="46"/>
      <c r="F120" s="47">
        <v>774.93</v>
      </c>
      <c r="G120" s="46"/>
      <c r="H120" s="46"/>
      <c r="I120" s="46"/>
      <c r="J120" s="47">
        <v>1361.73</v>
      </c>
      <c r="K120" s="47">
        <v>1354.59</v>
      </c>
      <c r="L120" s="46"/>
      <c r="M120" s="46"/>
      <c r="N120" s="46"/>
      <c r="O120" s="47">
        <v>1188.16</v>
      </c>
      <c r="P120" s="46"/>
      <c r="Q120" s="46"/>
      <c r="R120" s="46"/>
      <c r="S120" s="47">
        <v>1471.3</v>
      </c>
      <c r="T120" s="46"/>
      <c r="U120" s="46"/>
      <c r="V120" s="46"/>
      <c r="W120" s="46"/>
      <c r="X120" s="47">
        <f>B120+C120+D120+E120+F120+G120+H120+I120+J120+K120+L120+M120+N120+O120+P120+Q120+R120+S120+T120+U120+V120+W120</f>
        <v>7923.5599999999995</v>
      </c>
    </row>
    <row r="121" spans="1:24" ht="16">
      <c r="A121" s="40" t="s">
        <v>118</v>
      </c>
      <c r="B121" s="48">
        <f>B112+B113+B114+B115+B116+B117+B118+B119+B120</f>
        <v>10172.93</v>
      </c>
      <c r="C121" s="48">
        <f>C112+C113+C114+C115+C116+C117+C118+C119+C120</f>
        <v>27734.21</v>
      </c>
      <c r="D121" s="48">
        <f>D112+D113+D114+D115+D116+D117+D118+D119+D120</f>
        <v>37954.86</v>
      </c>
      <c r="E121" s="48">
        <f>E112+E113+E114+E115+E116+E117+E118+E119+E120</f>
        <v>29986.050000000003</v>
      </c>
      <c r="F121" s="48">
        <f>F112+F113+F114+F115+F116+F117+F118+F119+F120</f>
        <v>38127.87</v>
      </c>
      <c r="G121" s="48">
        <f>G112+G113+G114+G115+G116+G117+G118+G119+G120</f>
        <v>29834.620000000003</v>
      </c>
      <c r="H121" s="48">
        <f>H112+H113+H114+H115+H116+H117+H118+H119+H120</f>
        <v>41810.46</v>
      </c>
      <c r="I121" s="48">
        <f>I112+I113+I114+I115+I116+I117+I118+I119+I120</f>
        <v>81504.48999999999</v>
      </c>
      <c r="J121" s="48">
        <f>J112+J113+J114+J115+J116+J117+J118+J119+J120</f>
        <v>27597.420000000002</v>
      </c>
      <c r="K121" s="48">
        <f>K112+K113+K114+K115+K116+K117+K118+K119+K120</f>
        <v>35905.689999999995</v>
      </c>
      <c r="L121" s="48">
        <f>L112+L113+L114+L115+L116+L117+L118+L119+L120</f>
        <v>48101.770000000004</v>
      </c>
      <c r="M121" s="48">
        <f>M112+M113+M114+M115+M116+M117+M118+M119+M120</f>
        <v>66227.03</v>
      </c>
      <c r="N121" s="48">
        <f>N112+N113+N114+N115+N116+N117+N118+N119+N120</f>
        <v>81172.77000000002</v>
      </c>
      <c r="O121" s="48">
        <f>O112+O113+O114+O115+O116+O117+O118+O119+O120</f>
        <v>43917.14000000001</v>
      </c>
      <c r="P121" s="48">
        <f>P112+P113+P114+P115+P116+P117+P118+P119+P120</f>
        <v>65595.03</v>
      </c>
      <c r="Q121" s="48">
        <f>Q112+Q113+Q114+Q115+Q116+Q117+Q118+Q119+Q120</f>
        <v>41306.39</v>
      </c>
      <c r="R121" s="48">
        <f>R112+R113+R114+R115+R116+R117+R118+R119+R120</f>
        <v>59280.41</v>
      </c>
      <c r="S121" s="48">
        <f>S112+S113+S114+S115+S116+S117+S118+S119+S120</f>
        <v>110430.11</v>
      </c>
      <c r="T121" s="48">
        <f>T112+T113+T114+T115+T116+T117+T118+T119+T120</f>
        <v>83499.94</v>
      </c>
      <c r="U121" s="48">
        <f>U112+U113+U114+U115+U116+U117+U118+U119+U120</f>
        <v>57105.46000000001</v>
      </c>
      <c r="V121" s="48">
        <f>V112+V113+V114+V115+V116+V117+V118+V119+V120</f>
        <v>61228.07</v>
      </c>
      <c r="W121" s="48">
        <f>W112+W113+W114+W115+W116+W117+W118+W119+W120</f>
        <v>150289.37</v>
      </c>
      <c r="X121" s="49">
        <f>B121+C121+D121+E121+F121+G121+H121+I121+J121+K121+L121+M121+N121+O121+P121+Q121+R121+S121+T121+U121+V121+W121</f>
        <v>1228782.0900000003</v>
      </c>
    </row>
    <row r="122" spans="1:24" ht="16">
      <c r="A122" s="37" t="s">
        <v>119</v>
      </c>
      <c r="B122" s="46"/>
      <c r="C122" s="47">
        <v>27.59</v>
      </c>
      <c r="D122" s="47">
        <v>2006.67</v>
      </c>
      <c r="E122" s="47">
        <v>3188.31</v>
      </c>
      <c r="F122" s="47">
        <v>2737.39</v>
      </c>
      <c r="G122" s="47">
        <v>362.73</v>
      </c>
      <c r="H122" s="47">
        <v>62.95</v>
      </c>
      <c r="I122" s="47">
        <v>2198.03</v>
      </c>
      <c r="J122" s="47">
        <v>366.94</v>
      </c>
      <c r="K122" s="46"/>
      <c r="L122" s="47">
        <v>213.94</v>
      </c>
      <c r="M122" s="47">
        <v>2261.64</v>
      </c>
      <c r="N122" s="47">
        <v>354.69</v>
      </c>
      <c r="O122" s="46"/>
      <c r="P122" s="47">
        <v>158.14</v>
      </c>
      <c r="Q122" s="47">
        <v>1713.84</v>
      </c>
      <c r="R122" s="47">
        <v>2788.25</v>
      </c>
      <c r="S122" s="47">
        <v>107.83</v>
      </c>
      <c r="T122" s="47">
        <v>38.97</v>
      </c>
      <c r="U122" s="47">
        <v>15.16</v>
      </c>
      <c r="V122" s="47">
        <v>2668.07</v>
      </c>
      <c r="W122" s="46"/>
      <c r="X122" s="47">
        <f>B122+C122+D122+E122+F122+G122+H122+I122+J122+K122+L122+M122+N122+O122+P122+Q122+R122+S122+T122+U122+V122+W122</f>
        <v>21271.140000000003</v>
      </c>
    </row>
    <row r="123" spans="1:24" ht="16">
      <c r="A123" s="37" t="s">
        <v>120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7">
        <v>1395.37</v>
      </c>
      <c r="R123" s="46"/>
      <c r="S123" s="46"/>
      <c r="T123" s="46"/>
      <c r="U123" s="46"/>
      <c r="V123" s="46"/>
      <c r="W123" s="46"/>
      <c r="X123" s="47">
        <f>B123+C123+D123+E123+F123+G123+H123+I123+J123+K123+L123+M123+N123+O123+P123+Q123+R123+S123+T123+U123+V123+W123</f>
        <v>1395.37</v>
      </c>
    </row>
    <row r="124" spans="1:24" ht="16">
      <c r="A124" s="38" t="s">
        <v>121</v>
      </c>
      <c r="B124" s="48">
        <f>B18+B19+B20+B30+B35+B36+B37+B54+B55+B56+B57+B58+B61+B62+B63+B64+B65+B74+B75+B81+B82+B83+B88+B89+B90+B91+B92+B105+B106+B111+B121+B122+B123</f>
        <v>32935.14</v>
      </c>
      <c r="C124" s="48">
        <f>C18+C19+C20+C30+C35+C36+C37+C54+C55+C56+C57+C58+C61+C62+C63+C64+C65+C74+C75+C81+C82+C83+C88+C89+C90+C91+C92+C105+C106+C111+C121+C122+C123</f>
        <v>156393.27</v>
      </c>
      <c r="D124" s="48">
        <f>D18+D19+D20+D30+D35+D36+D37+D54+D55+D56+D57+D58+D61+D62+D63+D64+D65+D74+D75+D81+D82+D83+D88+D89+D90+D91+D92+D105+D106+D111+D121+D122+D123</f>
        <v>119300.99</v>
      </c>
      <c r="E124" s="48">
        <f>E18+E19+E20+E30+E35+E36+E37+E54+E55+E56+E57+E58+E61+E62+E63+E64+E65+E74+E75+E81+E82+E83+E88+E89+E90+E91+E92+E105+E106+E111+E121+E122+E123</f>
        <v>140972.85</v>
      </c>
      <c r="F124" s="48">
        <f>F18+F19+F20+F30+F35+F36+F37+F54+F55+F56+F57+F58+F61+F62+F63+F64+F65+F74+F75+F81+F82+F83+F88+F89+F90+F91+F92+F105+F106+F111+F121+F122+F123</f>
        <v>150191.95</v>
      </c>
      <c r="G124" s="48">
        <f>G18+G19+G20+G30+G35+G36+G37+G54+G55+G56+G57+G58+G61+G62+G63+G64+G65+G74+G75+G81+G82+G83+G88+G89+G90+G91+G92+G105+G106+G111+G121+G122+G123</f>
        <v>143808.34000000003</v>
      </c>
      <c r="H124" s="48">
        <f>H18+H19+H20+H30+H35+H36+H37+H54+H55+H56+H57+H58+H61+H62+H63+H64+H65+H74+H75+H81+H82+H83+H88+H89+H90+H91+H92+H105+H106+H111+H121+H122+H123</f>
        <v>179311.48</v>
      </c>
      <c r="I124" s="48">
        <f>I18+I19+I20+I30+I35+I36+I37+I54+I55+I56+I57+I58+I61+I62+I63+I64+I65+I74+I75+I81+I82+I83+I88+I89+I90+I91+I92+I105+I106+I111+I121+I122+I123</f>
        <v>195887.12</v>
      </c>
      <c r="J124" s="48">
        <f>J18+J19+J20+J30+J35+J36+J37+J54+J55+J56+J57+J58+J61+J62+J63+J64+J65+J74+J75+J81+J82+J83+J88+J89+J90+J91+J92+J105+J106+J111+J121+J122+J123</f>
        <v>131495.7</v>
      </c>
      <c r="K124" s="48">
        <f>K18+K19+K20+K30+K35+K36+K37+K54+K55+K56+K57+K58+K61+K62+K63+K64+K65+K74+K75+K81+K82+K83+K88+K89+K90+K91+K92+K105+K106+K111+K121+K122+K123</f>
        <v>150511.52</v>
      </c>
      <c r="L124" s="48">
        <f>L18+L19+L20+L30+L35+L36+L37+L54+L55+L56+L57+L58+L61+L62+L63+L64+L65+L74+L75+L81+L82+L83+L88+L89+L90+L91+L92+L105+L106+L111+L121+L122+L123</f>
        <v>160826.81</v>
      </c>
      <c r="M124" s="48">
        <f>M18+M19+M20+M30+M35+M36+M37+M54+M55+M56+M57+M58+M61+M62+M63+M64+M65+M74+M75+M81+M82+M83+M88+M89+M90+M91+M92+M105+M106+M111+M121+M122+M123</f>
        <v>202998.49000000002</v>
      </c>
      <c r="N124" s="48">
        <f>N18+N19+N20+N30+N35+N36+N37+N54+N55+N56+N57+N58+N61+N62+N63+N64+N65+N74+N75+N81+N82+N83+N88+N89+N90+N91+N92+N105+N106+N111+N121+N122+N123</f>
        <v>225791.11000000002</v>
      </c>
      <c r="O124" s="48">
        <f>O18+O19+O20+O30+O35+O36+O37+O54+O55+O56+O57+O58+O61+O62+O63+O64+O65+O74+O75+O81+O82+O83+O88+O89+O90+O91+O92+O105+O106+O111+O121+O122+O123</f>
        <v>164932.99</v>
      </c>
      <c r="P124" s="48">
        <f>P18+P19+P20+P30+P35+P36+P37+P54+P55+P56+P57+P58+P61+P62+P63+P64+P65+P74+P75+P81+P82+P83+P88+P89+P90+P91+P92+P105+P106+P111+P121+P122+P123</f>
        <v>215942.66</v>
      </c>
      <c r="Q124" s="48">
        <f>Q18+Q19+Q20+Q30+Q35+Q36+Q37+Q54+Q55+Q56+Q57+Q58+Q61+Q62+Q63+Q64+Q65+Q74+Q75+Q81+Q82+Q83+Q88+Q89+Q90+Q91+Q92+Q105+Q106+Q111+Q121+Q122+Q123</f>
        <v>193918.56999999998</v>
      </c>
      <c r="R124" s="48">
        <f>R18+R19+R20+R30+R35+R36+R37+R54+R55+R56+R57+R58+R61+R62+R63+R64+R65+R74+R75+R81+R82+R83+R88+R89+R90+R91+R92+R105+R106+R111+R121+R122+R123</f>
        <v>211934.46</v>
      </c>
      <c r="S124" s="48">
        <f>S18+S19+S20+S30+S35+S36+S37+S54+S55+S56+S57+S58+S61+S62+S63+S64+S65+S74+S75+S81+S82+S83+S88+S89+S90+S91+S92+S105+S106+S111+S121+S122+S123</f>
        <v>295913.60000000003</v>
      </c>
      <c r="T124" s="48">
        <f>T18+T19+T20+T30+T35+T36+T37+T54+T55+T56+T57+T58+T61+T62+T63+T64+T65+T74+T75+T81+T82+T83+T88+T89+T90+T91+T92+T105+T106+T111+T121+T122+T123</f>
        <v>218747.14</v>
      </c>
      <c r="U124" s="48">
        <f>U18+U19+U20+U30+U35+U36+U37+U54+U55+U56+U57+U58+U61+U62+U63+U64+U65+U74+U75+U81+U82+U83+U88+U89+U90+U91+U92+U105+U106+U111+U121+U122+U123</f>
        <v>212924.46000000005</v>
      </c>
      <c r="V124" s="48">
        <f>V18+V19+V20+V30+V35+V36+V37+V54+V55+V56+V57+V58+V61+V62+V63+V64+V65+V74+V75+V81+V82+V83+V88+V89+V90+V91+V92+V105+V106+V111+V121+V122+V123</f>
        <v>278353.54000000004</v>
      </c>
      <c r="W124" s="48">
        <f>W18+W19+W20+W30+W35+W36+W37+W54+W55+W56+W57+W58+W61+W62+W63+W64+W65+W74+W75+W81+W82+W83+W88+W89+W90+W91+W92+W105+W106+W111+W121+W122+W123</f>
        <v>347044.97</v>
      </c>
      <c r="X124" s="49">
        <f>B124+C124+D124+E124+F124+G124+H124+I124+J124+K124+L124+M124+N124+O124+P124+Q124+R124+S124+T124+U124+V124+W124</f>
        <v>4130137.16</v>
      </c>
    </row>
    <row r="125" spans="1:24" ht="16">
      <c r="A125" s="38" t="s">
        <v>122</v>
      </c>
      <c r="B125" s="48">
        <f>B17-B124</f>
        <v>19117.499999999993</v>
      </c>
      <c r="C125" s="48">
        <f>C17-C124</f>
        <v>-79943.83999999998</v>
      </c>
      <c r="D125" s="48">
        <f>D17-D124</f>
        <v>-22587.64000000003</v>
      </c>
      <c r="E125" s="48">
        <f>E17-E124</f>
        <v>-31502.459999999992</v>
      </c>
      <c r="F125" s="48">
        <f>F17-F124</f>
        <v>-3944.2600000000384</v>
      </c>
      <c r="G125" s="48">
        <f>G17-G124</f>
        <v>12832.959999999905</v>
      </c>
      <c r="H125" s="48">
        <f>H17-H124</f>
        <v>56645.30999999997</v>
      </c>
      <c r="I125" s="48">
        <f>I17-I124</f>
        <v>-73965.54000000001</v>
      </c>
      <c r="J125" s="48">
        <f>J17-J124</f>
        <v>37102.45000000004</v>
      </c>
      <c r="K125" s="48">
        <f>K17-K124</f>
        <v>14550.010000000038</v>
      </c>
      <c r="L125" s="48">
        <f>L17-L124</f>
        <v>-53249.0</v>
      </c>
      <c r="M125" s="48">
        <f>M17-M124</f>
        <v>106973.35999999996</v>
      </c>
      <c r="N125" s="48">
        <f>N17-N124</f>
        <v>215271.74000000002</v>
      </c>
      <c r="O125" s="48">
        <f>O17-O124</f>
        <v>54390.44999999998</v>
      </c>
      <c r="P125" s="48">
        <f>P17-P124</f>
        <v>16017.139999999985</v>
      </c>
      <c r="Q125" s="48">
        <f>Q17-Q124</f>
        <v>-16291.619999999995</v>
      </c>
      <c r="R125" s="48">
        <f>R17-R124</f>
        <v>25057.609999999986</v>
      </c>
      <c r="S125" s="48">
        <f>S17-S124</f>
        <v>71752.70999999996</v>
      </c>
      <c r="T125" s="48">
        <f>T17-T124</f>
        <v>79646.90999999997</v>
      </c>
      <c r="U125" s="48">
        <f>U17-U124</f>
        <v>190395.4</v>
      </c>
      <c r="V125" s="48">
        <f>V17-V124</f>
        <v>100835.5099999999</v>
      </c>
      <c r="W125" s="48">
        <f>W17-W124</f>
        <v>-88272.91000000003</v>
      </c>
      <c r="X125" s="49">
        <f>B125+C125+D125+E125+F125+G125+H125+I125+J125+K125+L125+M125+N125+O125+P125+Q125+R125+S125+T125+U125+V125+W125</f>
        <v>630831.7899999996</v>
      </c>
    </row>
    <row r="126" spans="1:23" ht="16">
      <c r="A126" s="36" t="s">
        <v>123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</row>
    <row r="127" spans="1:24" ht="16">
      <c r="A127" s="37" t="s">
        <v>124</v>
      </c>
      <c r="B127" s="46"/>
      <c r="C127" s="46"/>
      <c r="D127" s="46"/>
      <c r="E127" s="46"/>
      <c r="F127" s="47">
        <v>34.73</v>
      </c>
      <c r="G127" s="46"/>
      <c r="H127" s="46"/>
      <c r="I127" s="46"/>
      <c r="J127" s="47">
        <v>32.93</v>
      </c>
      <c r="K127" s="46"/>
      <c r="L127" s="46"/>
      <c r="M127" s="46"/>
      <c r="N127" s="46"/>
      <c r="O127" s="47">
        <v>47.29</v>
      </c>
      <c r="P127" s="46"/>
      <c r="Q127" s="46"/>
      <c r="R127" s="46"/>
      <c r="S127" s="47">
        <v>24.76</v>
      </c>
      <c r="T127" s="46"/>
      <c r="U127" s="46"/>
      <c r="V127" s="46"/>
      <c r="W127" s="46"/>
      <c r="X127" s="47">
        <f>B127+C127+D127+E127+F127+G127+H127+I127+J127+K127+L127+M127+N127+O127+P127+Q127+R127+S127+T127+U127+V127+W127</f>
        <v>139.70999999999998</v>
      </c>
    </row>
    <row r="128" spans="1:24" ht="16">
      <c r="A128" s="37" t="s">
        <v>125</v>
      </c>
      <c r="B128" s="47">
        <v>6375.0</v>
      </c>
      <c r="C128" s="47">
        <v>6375.0</v>
      </c>
      <c r="D128" s="47">
        <v>6375.0</v>
      </c>
      <c r="E128" s="47">
        <v>6375.0</v>
      </c>
      <c r="F128" s="46"/>
      <c r="G128" s="47">
        <v>6375.0</v>
      </c>
      <c r="H128" s="47">
        <v>6375.0</v>
      </c>
      <c r="I128" s="47">
        <v>6375.0</v>
      </c>
      <c r="J128" s="47">
        <v>6375.0</v>
      </c>
      <c r="K128" s="47">
        <v>6375.0</v>
      </c>
      <c r="L128" s="47">
        <v>6375.0</v>
      </c>
      <c r="M128" s="47">
        <v>6375.0</v>
      </c>
      <c r="N128" s="47">
        <v>6375.0</v>
      </c>
      <c r="O128" s="46"/>
      <c r="P128" s="46"/>
      <c r="Q128" s="46"/>
      <c r="R128" s="46"/>
      <c r="S128" s="46"/>
      <c r="T128" s="46"/>
      <c r="U128" s="46"/>
      <c r="V128" s="46"/>
      <c r="W128" s="46"/>
      <c r="X128" s="47">
        <f>B128+C128+D128+E128+F128+G128+H128+I128+J128+K128+L128+M128+N128+O128+P128+Q128+R128+S128+T128+U128+V128+W128</f>
        <v>76500.0</v>
      </c>
    </row>
    <row r="129" spans="1:24" ht="16">
      <c r="A129" s="38" t="s">
        <v>126</v>
      </c>
      <c r="B129" s="48">
        <f>B126+B127+B128</f>
        <v>6375.0</v>
      </c>
      <c r="C129" s="48">
        <f>C126+C127+C128</f>
        <v>6375.0</v>
      </c>
      <c r="D129" s="48">
        <f>D126+D127+D128</f>
        <v>6375.0</v>
      </c>
      <c r="E129" s="48">
        <f>E126+E127+E128</f>
        <v>6375.0</v>
      </c>
      <c r="F129" s="48">
        <f>F126+F127+F128</f>
        <v>34.73</v>
      </c>
      <c r="G129" s="48">
        <f>G126+G127+G128</f>
        <v>6375.0</v>
      </c>
      <c r="H129" s="48">
        <f>H126+H127+H128</f>
        <v>6375.0</v>
      </c>
      <c r="I129" s="48">
        <f>I126+I127+I128</f>
        <v>6375.0</v>
      </c>
      <c r="J129" s="48">
        <f>J126+J127+J128</f>
        <v>6407.93</v>
      </c>
      <c r="K129" s="48">
        <f>K126+K127+K128</f>
        <v>6375.0</v>
      </c>
      <c r="L129" s="48">
        <f>L126+L127+L128</f>
        <v>6375.0</v>
      </c>
      <c r="M129" s="48">
        <f>M126+M127+M128</f>
        <v>6375.0</v>
      </c>
      <c r="N129" s="48">
        <f>N126+N127+N128</f>
        <v>6375.0</v>
      </c>
      <c r="O129" s="48">
        <f>O126+O127+O128</f>
        <v>47.29</v>
      </c>
      <c r="P129" s="49">
        <f>P126+P127+P128</f>
        <v>0.0</v>
      </c>
      <c r="Q129" s="49">
        <f>Q126+Q127+Q128</f>
        <v>0.0</v>
      </c>
      <c r="R129" s="49">
        <f>R126+R127+R128</f>
        <v>0.0</v>
      </c>
      <c r="S129" s="48">
        <f>S126+S127+S128</f>
        <v>24.76</v>
      </c>
      <c r="T129" s="49">
        <f>T126+T127+T128</f>
        <v>0.0</v>
      </c>
      <c r="U129" s="49">
        <f>U126+U127+U128</f>
        <v>0.0</v>
      </c>
      <c r="V129" s="49">
        <f>V126+V127+V128</f>
        <v>0.0</v>
      </c>
      <c r="W129" s="49">
        <f>W126+W127+W128</f>
        <v>0.0</v>
      </c>
      <c r="X129" s="49">
        <f>B129+C129+D129+E129+F129+G129+H129+I129+J129+K129+L129+M129+N129+O129+P129+Q129+R129+S129+T129+U129+V129+W129</f>
        <v>76639.70999999999</v>
      </c>
    </row>
    <row r="130" spans="1:24" ht="16">
      <c r="A130" s="38" t="s">
        <v>127</v>
      </c>
      <c r="B130" s="48">
        <f>B129-0</f>
        <v>6375.0</v>
      </c>
      <c r="C130" s="48">
        <f>C129-0</f>
        <v>6375.0</v>
      </c>
      <c r="D130" s="48">
        <f>D129-0</f>
        <v>6375.0</v>
      </c>
      <c r="E130" s="48">
        <f>E129-0</f>
        <v>6375.0</v>
      </c>
      <c r="F130" s="48">
        <f>F129-0</f>
        <v>34.73</v>
      </c>
      <c r="G130" s="48">
        <f>G129-0</f>
        <v>6375.0</v>
      </c>
      <c r="H130" s="48">
        <f>H129-0</f>
        <v>6375.0</v>
      </c>
      <c r="I130" s="48">
        <f>I129-0</f>
        <v>6375.0</v>
      </c>
      <c r="J130" s="48">
        <f>J129-0</f>
        <v>6407.93</v>
      </c>
      <c r="K130" s="48">
        <f>K129-0</f>
        <v>6375.0</v>
      </c>
      <c r="L130" s="48">
        <f>L129-0</f>
        <v>6375.0</v>
      </c>
      <c r="M130" s="48">
        <f>M129-0</f>
        <v>6375.0</v>
      </c>
      <c r="N130" s="48">
        <f>N129-0</f>
        <v>6375.0</v>
      </c>
      <c r="O130" s="48">
        <f>O129-0</f>
        <v>47.29</v>
      </c>
      <c r="P130" s="49">
        <f>P129-0</f>
        <v>0.0</v>
      </c>
      <c r="Q130" s="49">
        <f>Q129-0</f>
        <v>0.0</v>
      </c>
      <c r="R130" s="49">
        <f>R129-0</f>
        <v>0.0</v>
      </c>
      <c r="S130" s="48">
        <f>S129-0</f>
        <v>24.76</v>
      </c>
      <c r="T130" s="49">
        <f>T129-0</f>
        <v>0.0</v>
      </c>
      <c r="U130" s="49">
        <f>U129-0</f>
        <v>0.0</v>
      </c>
      <c r="V130" s="49">
        <f>V129-0</f>
        <v>0.0</v>
      </c>
      <c r="W130" s="49">
        <f>W129-0</f>
        <v>0.0</v>
      </c>
      <c r="X130" s="49">
        <f>B130+C130+D130+E130+F130+G130+H130+I130+J130+K130+L130+M130+N130+O130+P130+Q130+R130+S130+T130+U130+V130+W130</f>
        <v>76639.70999999999</v>
      </c>
    </row>
    <row r="131" spans="1:24" ht="16">
      <c r="A131" s="38" t="s">
        <v>128</v>
      </c>
      <c r="B131" s="48">
        <f>B125+B130</f>
        <v>25492.499999999993</v>
      </c>
      <c r="C131" s="48">
        <f>C125+C130</f>
        <v>-73568.83999999998</v>
      </c>
      <c r="D131" s="48">
        <f>D125+D130</f>
        <v>-16212.640000000029</v>
      </c>
      <c r="E131" s="48">
        <f>E125+E130</f>
        <v>-25127.459999999992</v>
      </c>
      <c r="F131" s="48">
        <f>F125+F130</f>
        <v>-3909.5300000000384</v>
      </c>
      <c r="G131" s="48">
        <f>G125+G130</f>
        <v>19207.959999999905</v>
      </c>
      <c r="H131" s="48">
        <f>H125+H130</f>
        <v>63020.30999999997</v>
      </c>
      <c r="I131" s="48">
        <f>I125+I130</f>
        <v>-67590.54000000001</v>
      </c>
      <c r="J131" s="48">
        <f>J125+J130</f>
        <v>43510.38000000004</v>
      </c>
      <c r="K131" s="48">
        <f>K125+K130</f>
        <v>20925.01000000004</v>
      </c>
      <c r="L131" s="48">
        <f>L125+L130</f>
        <v>-46874.0</v>
      </c>
      <c r="M131" s="48">
        <f>M125+M130</f>
        <v>113348.35999999996</v>
      </c>
      <c r="N131" s="48">
        <f>N125+N130</f>
        <v>221646.74000000002</v>
      </c>
      <c r="O131" s="48">
        <f>O125+O130</f>
        <v>54437.73999999998</v>
      </c>
      <c r="P131" s="48">
        <f>P125+P130</f>
        <v>16017.139999999985</v>
      </c>
      <c r="Q131" s="48">
        <f>Q125+Q130</f>
        <v>-16291.619999999995</v>
      </c>
      <c r="R131" s="48">
        <f>R125+R130</f>
        <v>25057.609999999986</v>
      </c>
      <c r="S131" s="48">
        <f>S125+S130</f>
        <v>71777.46999999996</v>
      </c>
      <c r="T131" s="48">
        <f>T125+T130</f>
        <v>79646.90999999997</v>
      </c>
      <c r="U131" s="48">
        <f>U125+U130</f>
        <v>190395.4</v>
      </c>
      <c r="V131" s="48">
        <f>V125+V130</f>
        <v>100835.5099999999</v>
      </c>
      <c r="W131" s="48">
        <f>W125+W130</f>
        <v>-88272.91000000003</v>
      </c>
      <c r="X131" s="49">
        <f>B131+C131+D131+E131+F131+G131+H131+I131+J131+K131+L131+M131+N131+O131+P131+Q131+R131+S131+T131+U131+V131+W131</f>
        <v>707471.4999999997</v>
      </c>
    </row>
    <row r="135" spans="1:1" ht="16">
      <c r="A135" s="52" t="s">
        <v>153</v>
      </c>
    </row>
  </sheetData>
  <mergeCells count="4">
    <mergeCell ref="A1:X1"/>
    <mergeCell ref="A2:X2"/>
    <mergeCell ref="A3:X3"/>
    <mergeCell ref="A135:X1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
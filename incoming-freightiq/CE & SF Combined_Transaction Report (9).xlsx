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5" i="1" l="1"/>
</calcChain>
</file>

<file path=xl/sharedStrings.xml><?xml version="1.0" encoding="utf-8"?>
<sst xmlns="http://schemas.openxmlformats.org/spreadsheetml/2006/main" count="1509" uniqueCount="404">
  <si>
    <t>CE &amp; SF Combined</t>
  </si>
  <si>
    <t>Transaction Report</t>
  </si>
  <si>
    <t>January 1-June 8, 2026</t>
  </si>
  <si>
    <t>Truck/Trailer</t>
  </si>
  <si>
    <t>Fuel</t>
  </si>
  <si>
    <t>01/02/2026</t>
  </si>
  <si>
    <t>Expense</t>
  </si>
  <si>
    <t/>
  </si>
  <si>
    <t>EFS</t>
  </si>
  <si>
    <t>ORIG CO NAME:Wex Inc ORIG ID:XXXXXX8050 DESC DATE:SD0941 CO ENTRY DESCR:EFSLLC SEC:CCD TRACE#:XXXXXXXX0671984 EED:260102 IND ID:XXXXXXXX00387 IND NAME:SHOW FREI GHT INC . TRN: XXXXXX1984 TC</t>
  </si>
  <si>
    <t>Truck/Trailer:Fuel</t>
  </si>
  <si>
    <t>Show Freight Inc (3028)</t>
  </si>
  <si>
    <t>01/06/2026</t>
  </si>
  <si>
    <t>WEX Bank</t>
  </si>
  <si>
    <t>ORIG CO NAME:Wex Inc ORIG ID:XXXXXX8050 DESC DATE:SD0951 CO ENTRY DESCR:EFSLLC SEC:CCD TRACE#:XXXXXXXX2617132 EED:260106 IND ID:XXXXXXXX00387 IND NAME:SHOW FREI GHT INC . TRN: XXXXXX7132 TC</t>
  </si>
  <si>
    <t>01/07/2026</t>
  </si>
  <si>
    <t>Mudflap</t>
  </si>
  <si>
    <t>ORIG CO NAME:MUDFLAP ORIG ID:XXXXXX8598 DESC DATE: CO ENTRY DESCR:MUDFLAP SEC:WEB TRACE#:XXXXXXXX8887476 EED:260107 IND ID:ST-D2E4T9C5O2T3 IND NAME:FLEET SHOW F REIGHT INC TRN: XXXXXX7476 TC</t>
  </si>
  <si>
    <t>01/09/2026</t>
  </si>
  <si>
    <t>ORIG CO NAME:Wex Inc ORIG ID:XXXXXX8050 DESC DATE:SD0929 CO ENTRY DESCR:EFSLLC SEC:CCD TRACE#:XXXXXXXX0683503 EED:260109 IND ID:XXXXXXXX00387 IND NAME:SHOW FREI GHT INC . TRN: XXXXXX3503 TC</t>
  </si>
  <si>
    <t>01/13/2026</t>
  </si>
  <si>
    <t>ORIG CO NAME:Wex Inc ORIG ID:XXXXXX8050 DESC DATE:SD0946 CO ENTRY DESCR:EFSLLC SEC:CCD TRACE#:XXXXXXXX9427115 EED:260113 IND ID:XXXXXXXX00387 IND NAME:SHOW FREI GHT INC . TRN: XXXXXX7115 TC</t>
  </si>
  <si>
    <t>01/14/2026</t>
  </si>
  <si>
    <t>ORIG CO NAME:MUDFLAP ORIG ID:XXXXXX8598 DESC DATE: CO ENTRY DESCR:MUDFLAP SEC:WEB TRACE#:XXXXXXXX9686755 EED:260114 IND ID:ST-P8M1B1Y3O0Y2 IND NAME:FLEET SHOW F REIGHT INC TRN: XXXXXX6755 TC</t>
  </si>
  <si>
    <t>01/16/2026</t>
  </si>
  <si>
    <t>ORIG CO NAME:Wex Inc ORIG ID:XXXXXX8050 DESC DATE:SD0950 CO ENTRY DESCR:EFSLLC SEC:CCD TRACE#:XXXXXXXX9712816 EED:260116 IND ID:XXXXXXXX00387 IND NAME:SHOW FREI GHT INC . TRN: XXXXXX2816 TC</t>
  </si>
  <si>
    <t>01/20/2026</t>
  </si>
  <si>
    <t>ORIG CO NAME:Wex Inc ORIG ID:XXXXXX8050 DESC DATE:SD0954 CO ENTRY DESCR:EFSLLC SEC:CCD TRACE#:XXXXXXXX6670198 EED:260120 IND ID:XXXXXXXX00387 IND NAME:SHOW FREI GHT INC . TRN: XXXXXX0198 TC</t>
  </si>
  <si>
    <t>01/21/2026</t>
  </si>
  <si>
    <t>ORIG CO NAME:MUDFLAP ORIG ID:XXXXXX8598 DESC DATE: CO ENTRY DESCR:MUDFLAP SEC:WEB TRACE#:XXXXXXXX6374506 EED:260121 IND ID:ST-Y9R0U7H0X2B2 IND NAME:FLEET SHOW F REIGHT INC TRN: XXXXXX4506 TC</t>
  </si>
  <si>
    <t>01/23/2026</t>
  </si>
  <si>
    <t>ORIG CO NAME:Wex Inc ORIG ID:XXXXXX8050 DESC DATE:SD0934 CO ENTRY DESCR:EFSLLC SEC:CCD TRACE#:XXXXXXXX9903716 EED:260123 IND ID:XXXXXXXX00387 IND NAME:SHOW FREI GHT INC . TRN: XXXXXX3716 TC</t>
  </si>
  <si>
    <t>01/27/2026</t>
  </si>
  <si>
    <t>ORIG CO NAME:Wex Inc ORIG ID:XXXXXX8050 DESC DATE:SD0939 CO ENTRY DESCR:EFSLLC SEC:CCD TRACE#:XXXXXXXX2821021 EED:260127 IND ID:XXXXXXXX00387 IND NAME:SHOW FREI GHT INC . TRN: XXXXXX1021 TC</t>
  </si>
  <si>
    <t>01/28/2026</t>
  </si>
  <si>
    <t>ORIG CO NAME:MUDFLAP ORIG ID:XXXXXX8598 DESC DATE: CO ENTRY DESCR:MUDFLAP SEC:WEB TRACE#:XXXXXXXX1595172 EED:260128 IND ID:ST-I4J8P3N4S5E4 IND NAME:FLEET SHOW F REIGHT INC TRN: XXXXXX5172 TC</t>
  </si>
  <si>
    <t>01/30/2026</t>
  </si>
  <si>
    <t>ORIG CO NAME:Wex Inc ORIG ID:XXXXXX8050 DESC DATE:SD0937 CO ENTRY DESCR:EFSLLC SEC:CCD TRACE#:XXXXXXXX7465562 EED:260130 IND ID:XXXXXXXX00387 IND NAME:SHOW FREI GHT INC . TRN: XXXXXX5562 TC</t>
  </si>
  <si>
    <t>02/03/2026</t>
  </si>
  <si>
    <t>ORIG CO NAME:Wex Inc ORIG ID:XXXXXX8050 DESC DATE:SD0951 CO ENTRY DESCR:EFSLLC SEC:CCD TRACE#:XXXXXXXX6274545 EED:260203 IND ID:XXXXXXXX00387 IND NAME:SHOW FREI GHT INC . TRN: XXXXXX4545 TC</t>
  </si>
  <si>
    <t>02/04/2026</t>
  </si>
  <si>
    <t>ORIG CO NAME:MUDFLAP ORIG ID:XXXXXX5600 DESC DATE: CO ENTRY DESCR:MUDFLAP SEC:WEB TRACE#:XXXXXXXX3214812 EED:260204 IND ID:ST-K0J6V6O6C5M4 IND NAME:FLEET SHOW F REIGHT INC TRN: XXXXXX4812 TC</t>
  </si>
  <si>
    <t>02/06/2026</t>
  </si>
  <si>
    <t>ORIG CO NAME:Wex Inc ORIG ID:XXXXXX8050 DESC DATE:SD0944 CO ENTRY DESCR:EFSLLC SEC:CCD TRACE#:XXXXXXXX5927779 EED:260206 IND ID:XXXXXXXX00387 IND NAME:SHOW FREI GHT INC . TRN: XXXXXX7779 TC</t>
  </si>
  <si>
    <t>02/10/2026</t>
  </si>
  <si>
    <t>ORIG CO NAME:Wex Inc ORIG ID:XXXXXX8050 DESC DATE:SD0942 CO ENTRY DESCR:EFSLLC SEC:CCD TRACE#:XXXXXXXX9407814 EED:260210 IND ID:XXXXXXXX00387 IND NAME:SHOW FREI GHT INC . TRN: XXXXXX7814 TC</t>
  </si>
  <si>
    <t>02/11/2026</t>
  </si>
  <si>
    <t>ORIG CO NAME:MUDFLAP ORIG ID:XXXXXX8598 DESC DATE: CO ENTRY DESCR:MUDFLAP SEC:WEB TRACE#:XXXXXXXX6574528 EED:260211 IND ID:ST-U2Y8C4X8L8F6 IND NAME:FLEET SHOW F REIGHT INC TRN: XXXXXX4528 TC</t>
  </si>
  <si>
    <t>02/13/2026</t>
  </si>
  <si>
    <t>ORIG CO NAME:Wex Inc ORIG ID:XXXXXX8050 DESC DATE:SD0958 CO ENTRY DESCR:EFSLLC SEC:CCD TRACE#:XXXXXXXX1442241 EED:260213 IND ID:XXXXXXXX00387 IND NAME:SHOW FREI GHT INC . TRN: XXXXXX2241 TC</t>
  </si>
  <si>
    <t>02/17/2026</t>
  </si>
  <si>
    <t>ORIG CO NAME:Wex Inc ORIG ID:XXXXXX8050 DESC DATE:SD1100 CO ENTRY DESCR:EFSLLC SEC:CCD TRACE#:XXXXXXXX5609292 EED:260217 IND ID:XXXXXXXX00387 IND NAME:SHOW FREI GHT INC . TRN: XXXXXX9292 TC</t>
  </si>
  <si>
    <t>02/18/2026</t>
  </si>
  <si>
    <t>ORIG CO NAME:MUDFLAP ORIG ID:XXXXXX5600 DESC DATE: CO ENTRY DESCR:MUDFLAP SEC:WEB TRACE#:XXXXXXXX7550564 EED:260218 IND ID:ST-U2S5R6K0P3A7 IND NAME:FLEET SHOW F REIGHT INC TRN: XXXXXX0564 TC</t>
  </si>
  <si>
    <t>02/20/2026</t>
  </si>
  <si>
    <t>ORIG CO NAME:Wex Inc ORIG ID:XXXXXX8050 DESC DATE:SD0947 CO ENTRY DESCR:EFSLLC SEC:CCD TRACE#:XXXXXXXX7186779 EED:260220 IND ID:XXXXXXXX00387 IND NAME:SHOW FREI GHT INC . TRN: XXXXXX6779 TC</t>
  </si>
  <si>
    <t>02/24/2026</t>
  </si>
  <si>
    <t>ORIG CO NAME:WEX INC ORIG ID:XXXXXX8050 DESC DATE:SD0953 CO ENTRY DESCR:EFSLLC SEC:CCD TRACE#:XXXXXXXX0243258 EED:260224 IND ID:XXXXXXXX00387 IND NAME:SHOW FREI GHT INC . TRN: XXXXXX3258 TC</t>
  </si>
  <si>
    <t>02/25/2026</t>
  </si>
  <si>
    <t>ORIG CO NAME:MUDFLAP ORIG ID:XXXXXX5600 DESC DATE: CO ENTRY DESCR:MUDFLAP SEC:WEB TRACE#:XXXXXXXX0414497 EED:260225 IND ID:ST-M4Z8K0T0L7U1 IND NAME:FLEET SHOW F REIGHT INC TRN: XXXXXX4497 TC</t>
  </si>
  <si>
    <t>02/27/2026</t>
  </si>
  <si>
    <t>ORIG CO NAME:WEX INC ORIG ID:XXXXXX8050 DESC DATE:SD0939 CO ENTRY DESCR:EFSLLC SEC:CCD TRACE#:XXXXXXXX3384683 EED:260227 IND ID:XXXXXXXX00387 IND NAME:SHOW FREI GHT INC . TRN: XXXXXX4683 TC</t>
  </si>
  <si>
    <t>03/03/2026</t>
  </si>
  <si>
    <t>ORIG CO NAME:WEX INC ORIG ID:XXXXXX8050 DESC DATE:SD1006 CO ENTRY DESCR:EFSLLC SEC:CCD TRACE#:XXXXXXXX2500937 EED:260303 IND ID:XXXXXXXX00387 IND NAME:SHOW FREI GHT INC . TRN: XXXXXX0937 TC</t>
  </si>
  <si>
    <t>03/04/2026</t>
  </si>
  <si>
    <t>ORIG CO NAME:MUDFLAP ORIG ID:XXXXXX8598 DESC DATE: CO ENTRY DESCR:MUDFLAP SEC:WEB TRACE#:XXXXXXXX7118378 EED:260304 IND ID:ST-I4B0L9K5O5V0 IND NAME:FLEET SHOW F REIGHT INC TRN: XXXXXX8378 TC</t>
  </si>
  <si>
    <t>03/06/2026</t>
  </si>
  <si>
    <t>ORIG CO NAME:WEX INC ORIG ID:XXXXXX8050 DESC DATE:SD1115 CO ENTRY DESCR:EFSLLC SEC:CCD TRACE#:XXXXXXXX3353068 EED:260306 IND ID:XXXXXXXX00387 IND NAME:SHOW FREI GHT INC . TRN: XXXXXX3068 TC</t>
  </si>
  <si>
    <t>03/12/2026</t>
  </si>
  <si>
    <t>ORIG CO NAME:WEX INC ORIG ID:XXXXXX8050 DESC DATE:SD0204 CO ENTRY DESCR:EFSLLC SEC:CCD TRACE#:XXXXXXXX5741927 EED:260312 IND ID:XXXXXXXX00387 IND NAME:SHOW FREI GHT INC . TRN: XXXXXX1927 TC</t>
  </si>
  <si>
    <t>03/13/2026</t>
  </si>
  <si>
    <t>ORIG CO NAME:WEX INC ORIG ID:XXXXXX8050 DESC DATE:SD1030 CO ENTRY DESCR:EFSLLC SEC:CCD TRACE#:XXXXXXXX4962579 EED:260313 IND ID:XXXXXXXX00387 IND NAME:SHOW FREI GHT INC . TRN: XXXXXX2579 TC</t>
  </si>
  <si>
    <t>03/17/2026</t>
  </si>
  <si>
    <t>ORIG CO NAME:WEX INC ORIG ID:XXXXXX8050 DESC DATE:SD0945 CO ENTRY DESCR:EFSLLC SEC:CCD TRACE#:XXXXXXXX5066349 EED:260317 IND ID:XXXXXXXX00387 IND NAME:SHOW FREI GHT INC . TRN: XXXXXX6349 TC</t>
  </si>
  <si>
    <t>03/20/2026</t>
  </si>
  <si>
    <t>ORIG CO NAME:WEX INC ORIG ID:XXXXXX8050 DESC DATE:SD0935 CO ENTRY DESCR:EFSLLC SEC:CCD TRACE#:XXXXXXXX7729416 EED:260320 IND ID:XXXXXXXX00387 IND NAME:SHOW FREI GHT INC . TRN: XXXXXX9416 TC</t>
  </si>
  <si>
    <t>03/24/2026</t>
  </si>
  <si>
    <t>ORIG CO NAME:WEX INC ORIG ID:XXXXXX8050 DESC DATE:SD0944 CO ENTRY DESCR:EFSLLC SEC:CCD TRACE#:XXXXXXXX0710434 EED:260324 IND ID:XXXXXXXX00387 IND NAME:SHOW FREI GHT INC . TRN: XXXXXX0434 TC</t>
  </si>
  <si>
    <t>03/27/2026</t>
  </si>
  <si>
    <t>ORIG CO NAME:WEX INC ORIG ID:XXXXXX8050 DESC DATE:SD0952 CO ENTRY DESCR:EFSLLC SEC:CCD TRACE#:XXXXXXXX8388695 EED:260327 IND ID:XXXXXXXX00387 IND NAME:SHOW FREI GHT INC . TRN: XXXXXX8695 TC</t>
  </si>
  <si>
    <t>03/31/2026</t>
  </si>
  <si>
    <t>ORIG CO NAME:WEX INC ORIG ID:XXXXXX8050 DESC DATE:SD0927 CO ENTRY DESCR:EFSLLC SEC:CCD TRACE#:XXXXXXXX7741957 EED:260331 IND ID:XXXXXXXX00387 IND NAME:SHOW FREI GHT INC . TRN: XXXXXX1957 TC</t>
  </si>
  <si>
    <t>04/03/2026</t>
  </si>
  <si>
    <t>ORIG CO NAME:WEX INC ORIG ID:XXXXXX8050 DESC DATE:SD0931 CO ENTRY DESCR:EFSLLC SEC:CCD TRACE#:XXXXXXXX1595353 EED:260403 IND ID:XXXXXXXX00387 IND NAME:SHOW FREI GHT INC . TRN: XXXXXX5353 TC</t>
  </si>
  <si>
    <t>04/07/2026</t>
  </si>
  <si>
    <t>ORIG CO NAME:WEX INC ORIG ID:XXXXXX8050 DESC DATE:SD0929 CO ENTRY DESCR:EFSLLC SEC:CCD TRACE#:XXXXXXXX5980422 EED:260407 IND ID:XXXXXXXX00387 IND NAME:SHOW FREI GHT INC . TRN: XXXXXX0422 TC</t>
  </si>
  <si>
    <t>04/10/2026</t>
  </si>
  <si>
    <t>ORIG CO NAME:WEX INC ORIG ID:XXXXXX8050 DESC DATE:SD0923 CO ENTRY DESCR:EFSLLC SEC:CCD TRACE#:XXXXXXXX2165193 EED:260410 IND ID:XXXXXXXX00387 IND NAME:SHOW FREI GHT INC . TRN: XXXXXX5193 TC</t>
  </si>
  <si>
    <t>04/14/2026</t>
  </si>
  <si>
    <t>ORIG CO NAME:WEX INC ORIG ID:XXXXXX8050 DESC DATE:SD0922 CO ENTRY DESCR:EFSLLC SEC:CCD TRACE#:XXXXXXXX5021863 EED:260414 IND ID:XXXXXXXX00387 IND NAME:SHOW FREI GHT INC . TRN: XXXXXX1863 TC</t>
  </si>
  <si>
    <t>04/17/2026</t>
  </si>
  <si>
    <t>ORIG CO NAME:WEX INC ORIG ID:XXXXXX8050 DESC DATE:SD0929 CO ENTRY DESCR:EFSLLC SEC:CCD TRACE#:XXXXXXXX4488141 EED:260417 IND ID:XXXXXXXX00387 IND NAME:SHOW FREI GHT INC . TRN: XXXXXX8141 TC</t>
  </si>
  <si>
    <t>04/21/2026</t>
  </si>
  <si>
    <t>ORIG CO NAME:WEX INC ORIG ID:XXXXXX8050 DESC DATE:SD0924 CO ENTRY DESCR:EFSLLC SEC:CCD TRACE#:XXXXXXXX3651635 EED:260421 IND ID:XXXXXXXX00387 IND NAME:SHOW FREI GHT INC . TRN: XXXXXX1635 TC</t>
  </si>
  <si>
    <t>04/24/2026</t>
  </si>
  <si>
    <t>ORIG CO NAME:WEX INC ORIG ID:XXXXXX8050 DESC DATE:SD0921 CO ENTRY DESCR:EFSLLC SEC:CCD TRACE#:XXXXXXXX5098592 EED:260424 IND ID:XXXXXXXX00387 IND NAME:SHOW FREI GHT INC . TRN: XXXXXX8592 TC</t>
  </si>
  <si>
    <t>04/28/2026</t>
  </si>
  <si>
    <t>ORIG CO NAME:WEX INC ORIG ID:XXXXXX8050 DESC DATE:SD0931 CO ENTRY DESCR:EFSLLC SEC:CCD TRACE#:XXXXXXXX4599241 EED:260428 IND ID:XXXXXXXX00387 IND NAME:SHOW FREI GHT INC . TRN: XXXXXX9241 TC</t>
  </si>
  <si>
    <t>05/01/2026</t>
  </si>
  <si>
    <t>ORIG CO NAME:WEX INC ORIG ID:XXXXXX8050 DESC DATE:SD0952 CO ENTRY DESCR:EFSLLC SEC:CCD TRACE#:XXXXXXXX9418253 EED:260501 IND ID:XXXXXXXX00387 IND NAME:SHOW FREI GHT INC . TRN: XXXXXX8253 TC</t>
  </si>
  <si>
    <t>05/05/2026</t>
  </si>
  <si>
    <t>ORIG CO NAME:WEX INC ORIG ID:XXXXXX8050 DESC DATE:SD0937 CO ENTRY DESCR:EFSLLC SEC:CCD TRACE#:XXXXXXXX7285641 EED:260505 IND ID:XXXXXXXX00387 IND NAME:SHOW FREI GHT INC . TRN: XXXXXX5641 TC</t>
  </si>
  <si>
    <t>05/08/2026</t>
  </si>
  <si>
    <t>ORIG CO NAME:WEX INC ORIG ID:XXXXXX8050 DESC DATE:SD0924 CO ENTRY DESCR:EFSLLC SEC:CCD TRACE#:XXXXXXXX0671439 EED:260508 IND ID:XXXXXXXX00387 IND NAME:SHOW FREI GHT INC . TRN: XXXXXX1439 TC</t>
  </si>
  <si>
    <t>05/12/2026</t>
  </si>
  <si>
    <t>ORIG CO NAME:WEX INC ORIG ID:XXXXXX8050 DESC DATE:SD0924 CO ENTRY DESCR:EFSLLC SEC:CCD TRACE#:XXXXXXXX6259502 EED:260512 IND ID:XXXXXXXX00387 IND NAME:SHOW FREI GHT INC . TRN: XXXXXX9502 TC</t>
  </si>
  <si>
    <t>05/15/2026</t>
  </si>
  <si>
    <t>ORIG CO NAME:WEX INC ORIG ID:XXXXXX8050 DESC DATE:SD0929 CO ENTRY DESCR:EFSLLC SEC:CCD TRACE#:XXXXXXXX3687923 EED:260515 IND ID:XXXXXXXX00387 IND NAME:SHOW FREI GHT INC . TRN: XXXXXX7923 TC</t>
  </si>
  <si>
    <t>05/19/2026</t>
  </si>
  <si>
    <t>ORIG CO NAME:WEX INC ORIG ID:XXXXXX8050 DESC DATE:SD0928 CO ENTRY DESCR:EFSLLC SEC:CCD TRACE#:XXXXXXXX6289746 EED:260519 IND ID:XXXXXXXX00387 IND NAME:SHOW FREI GHT INC . TRN: XXXXXX9746 TC</t>
  </si>
  <si>
    <t>05/22/2026</t>
  </si>
  <si>
    <t>ORIG CO NAME:WEX INC ORIG ID:XXXXXX8050 DESC DATE:SD0934 CO ENTRY DESCR:EFSLLC SEC:CCD TRACE#:XXXXXXXX5933443 EED:260522 IND ID:XXXXXXXX00387 IND NAME:SHOW FREI GHT INC . TRN: XXXXXX3443 TC</t>
  </si>
  <si>
    <t>05/26/2026</t>
  </si>
  <si>
    <t>ORIG CO NAME:WEX INC ORIG ID:XXXXXX8050 DESC DATE:SD0926 CO ENTRY DESCR:EFSLLC SEC:CCD TRACE#:XXXXXXXX2414899 EED:260526 IND ID:XXXXXXXX00387 IND NAME:SHOW FREI GHT INC . TRN: XXXXXX4899 TC</t>
  </si>
  <si>
    <t>05/29/2026</t>
  </si>
  <si>
    <t>ORIG CO NAME:WEX INC ORIG ID:XXXXXX8050 DESC DATE:SD0937 CO ENTRY DESCR:EFSLLC SEC:CCD TRACE#:XXXXXXXX1224521 EED:260529 IND ID:XXXXXXXX00387 IND NAME:SHOW FREI GHT INC . TRN: XXXXXX4521 TC</t>
  </si>
  <si>
    <t>06/02/2026</t>
  </si>
  <si>
    <t>ORIG CO NAME:WEX INC ORIG ID:XXXXXX8050 DESC DATE:SD0948 CO ENTRY DESCR:EFSLLC SEC:CCD TRACE#:XXXXXXXX0908576 EED:260602 IND ID:XXXXXXXX00387 IND NAME:SHOW FREI GHT INC . TRN: XXXXXX8576 TC</t>
  </si>
  <si>
    <t>06/05/2026</t>
  </si>
  <si>
    <t>ORIG CO NAME:WEX INC ORIG ID:XXXXXX8050 DESC DATE:SD0935 CO ENTRY DESCR:EFSLLC SEC:CCD TRACE#:XXXXXXXX1636882 EED:260605 IND ID:XXXXXXXX00387 IND NAME:SHOW FREI GHT INC . TRN: XXXXXX6882 TC</t>
  </si>
  <si>
    <t>Total for Fuel</t>
  </si>
  <si>
    <t>SF Truck Insurance</t>
  </si>
  <si>
    <t>Journal Entry</t>
  </si>
  <si>
    <t>010226</t>
  </si>
  <si>
    <t>Truck/Trailer:SF Truck Insurance</t>
  </si>
  <si>
    <t>010926</t>
  </si>
  <si>
    <t>011626</t>
  </si>
  <si>
    <t>012326</t>
  </si>
  <si>
    <t>020426</t>
  </si>
  <si>
    <t>021126</t>
  </si>
  <si>
    <t>021826</t>
  </si>
  <si>
    <t>022526</t>
  </si>
  <si>
    <t>030626-INS</t>
  </si>
  <si>
    <t>03/10/2026</t>
  </si>
  <si>
    <t>Triumph Insurance</t>
  </si>
  <si>
    <t>Triumph Insurance Grou Dallas TX 03/11</t>
  </si>
  <si>
    <t>031326-INS</t>
  </si>
  <si>
    <t>032026-INS</t>
  </si>
  <si>
    <t>032726-INS</t>
  </si>
  <si>
    <t>ORIG CO NAME:TRIUMPH INSURANC ORIG ID:XXXXXX9830 DESC DATE:260330 CO ENTRY DESCR:PAYMENTS SEC:CCD TRACE#:XXXXXXXX7598371 EED:260331 IND ID:30372941 IND NAME:SHO W FREIGHT INC TRN: XXXXXX8371 TC</t>
  </si>
  <si>
    <t>People's Premium Finance</t>
  </si>
  <si>
    <t>ORIG CO NAME:Premium Finance ORIG ID:XXXXXX4550 DESC DATE: CO ENTRY DESCR:Payments SEC:CCD TRACE#:XXXXXXXX0261539 EED:260410 IND ID:1104 -XX8274 IND NAME:SHOW FR EIGHT INC TRN: XXXXXX1539 TC</t>
  </si>
  <si>
    <t>PLAT BUS CHECKING (7173) - 1</t>
  </si>
  <si>
    <t>04/22/2026</t>
  </si>
  <si>
    <t>ORIG CO NAME:TRIUMPH INSURANC ORIG ID:XXXXXX9830 DESC DATE:260421 CO ENTRY DESCR:PAYMENTS SEC:CCD TRACE#:XXXXXXXX2982824 EED:260422 IND ID:30867385 IND NAME:SHO W FREIGHT INC TRN: XXXXXX2824 TC</t>
  </si>
  <si>
    <t>05/07/2026</t>
  </si>
  <si>
    <t>ORIG CO NAME:Premium Finance ORIG ID:XXXXXX4550 DESC DATE: CO ENTRY DESCR:Payments SEC:CCD TRACE#:XXXXXXXX2121618 EED:260507 IND ID:1104 -XX8274 IND NAME:SHOW FR EIGHT INC TRN: XXXXXX1618 TC</t>
  </si>
  <si>
    <t>ORIG CO NAME:TRIUMPH INSURANC ORIG ID:XXXXXX9830 DESC DATE:260507 CO ENTRY DESCR:PAYMENTS SEC:CCD TRACE#:XXXXXXXX4927186 EED:260508 IND ID:31223462 IND NAME:SHO W FREIGHT INC TRN: XXXXXX7186 TC</t>
  </si>
  <si>
    <t>05/28/2026</t>
  </si>
  <si>
    <t>ORIG CO NAME:Premium Finance ORIG ID:XXXXXX4550 DESC DATE: CO ENTRY DESCR:Payments SEC:CCD TRACE#:XXXXXXXX4781553 EED:260528 IND ID:1104 -XX8274 IND NAME:SHOW FR EIGHT INC TRN: XXXXXX1553 TC</t>
  </si>
  <si>
    <t>PLAT BUS CHECKING (7165) - 1</t>
  </si>
  <si>
    <t>06/03/2026</t>
  </si>
  <si>
    <t>ORIG CO NAME:TRIUMPH INSURANC ORIG ID:XXXXXX9830 DESC DATE:260602 CO ENTRY DESCR:PAYMENTS SEC:CCD TRACE#:XXXXXXXX9265383 EED:260603 IND ID:31763865 IND NAME:SHO W FREIGHT INC TRN: XXXXXX5383 TC</t>
  </si>
  <si>
    <t>Total for SF Truck Insurance</t>
  </si>
  <si>
    <t>Storage/Parking</t>
  </si>
  <si>
    <t>Total Transportation</t>
  </si>
  <si>
    <t>Online ACH Payment XXXXXXX1635 To TotalTransportationServices (_#####9054)</t>
  </si>
  <si>
    <t>Truck/Trailer:Storage/Parking</t>
  </si>
  <si>
    <t>Capacity Express (1927)</t>
  </si>
  <si>
    <t>Storage on Wheels</t>
  </si>
  <si>
    <t>FSP*A STORAGE ON WHEE XXX-XXX-1300 NV 01/14</t>
  </si>
  <si>
    <t>FSP*A STORAGE ON WHEE XXX-XXX-1300 NV 01/16</t>
  </si>
  <si>
    <t>02/09/2026</t>
  </si>
  <si>
    <t>Online ACH Payment XXXXXXX5841 To TotalTransportationServices (_#####9054)</t>
  </si>
  <si>
    <t>Parking Service Center</t>
  </si>
  <si>
    <t>PARKING SERVICE CENTER XXX-XXX9915 CA 02/09
DRIVER MICHAEL WAINWRIGHT - PARKING TICKET AT YARD</t>
  </si>
  <si>
    <t>02/16/2026</t>
  </si>
  <si>
    <t>FSP*A STORAGE ON WHEE XXX-XXX-1300 NV 02/16</t>
  </si>
  <si>
    <t>FSP*A STORAGE ON WHEE XXX-XXX-1300 NV 02/17</t>
  </si>
  <si>
    <t>03/09/2026</t>
  </si>
  <si>
    <t>Online ACH Payment XXXXXXX3112 To TotalTransportationServices (_#####9054)</t>
  </si>
  <si>
    <t>03/16/2026</t>
  </si>
  <si>
    <t>FSP*A STORAGE ON WHEE XXX-XXX-1300 NV 03/16</t>
  </si>
  <si>
    <t>Citation Permits Processing</t>
  </si>
  <si>
    <t>CITATION-PERMITS PROCE XXX-XXX2058 CA 03/31</t>
  </si>
  <si>
    <t>SFMTA</t>
  </si>
  <si>
    <t>SFMTA CIT PYMNT WEB XXX-XXX7581 CA 03/31</t>
  </si>
  <si>
    <t>04/09/2026</t>
  </si>
  <si>
    <t>Online ACH Payment XXXXXXX5176 To TotalTransportationServices (_#####9054)</t>
  </si>
  <si>
    <t>Online RealTime vendor payment XXXXXXX5091 Payment Id REFERENCE#: XXXXXX5091RX to Total Transportation Services 9054</t>
  </si>
  <si>
    <t>FSP*A STORAGE ON WHEE XXX-XXX-1300 NV 04/14</t>
  </si>
  <si>
    <t>04/15/2026</t>
  </si>
  <si>
    <t>Online ACH Payment XXXXXXX3018 To TotalTransportationServices (_#####9054)</t>
  </si>
  <si>
    <t>Online ACH Payment XXXXXXX3679 To TotalTransportationServices (_#####9054)</t>
  </si>
  <si>
    <t>Best Truck Parking</t>
  </si>
  <si>
    <t>BestTruckParking XXXXXX9957 NJ 04/25</t>
  </si>
  <si>
    <t>LJD Enterprise</t>
  </si>
  <si>
    <t>ONLINE DOMESTIC WIRE TRANSFER VIA: WELLS FARGO NA/XXXXX0248 A/C: LJD ENTERPRISE LAS VEGAS NV X9102 US REF: INVOICE LJDXXXX2026/TIME/14:42 IMAD: 0428MMQFMP2L0158 18 TRN: XXXXXX6118 ES 04/28</t>
  </si>
  <si>
    <t>04/29/2026</t>
  </si>
  <si>
    <t>Online ACH Payment XXXXXXX5443 To TotalTransportationServices (_#####9054)</t>
  </si>
  <si>
    <t>05/06/2026</t>
  </si>
  <si>
    <t>Online ACH Payment XXXXXXX8478 To TotalTransportationServices (_#####9054)</t>
  </si>
  <si>
    <t>Online ACH Payment XXXXXXX4067 To TotalTransportationServices (_#####9054)</t>
  </si>
  <si>
    <t>05/14/2026</t>
  </si>
  <si>
    <t>FSP*A STORAGE ON WHEE XXX-XXX-1300 NV 05/14</t>
  </si>
  <si>
    <t>ONLINE DOMESTIC WIRE TRANSFER VIA: WELLS FARGO NA/XXXXX0248 A/C: LJD ENTERPRISE LAS VEGAS NV X9102 US REF: TROP LOT/TIME/21:21 IMAD: 0528MMQFMP2MXX8477 TRN: 382 XXX6148ES 05/28</t>
  </si>
  <si>
    <t>CITATION-PERMITS PROC XXX-XXX-6937 CA 06/03</t>
  </si>
  <si>
    <t>Online ACH Payment XXXXXXX5385 To TotalTransportationServices (_#####9054)</t>
  </si>
  <si>
    <t>Total for Storage/Parking</t>
  </si>
  <si>
    <t>Trailer Maintenance</t>
  </si>
  <si>
    <t>TravelCenters of America</t>
  </si>
  <si>
    <t>TA #229 MORIARITY MORIARTY NM 02/20</t>
  </si>
  <si>
    <t>Truck/Trailer:Trailer Maintenance</t>
  </si>
  <si>
    <t>MKD Express LLC</t>
  </si>
  <si>
    <t>Zelle payment to MKD Express JPM99c86h3mv
TRAILER REPAIRS</t>
  </si>
  <si>
    <t>Zelle payment to MKD Express - Carrier JPM99cc9e6ot</t>
  </si>
  <si>
    <t>Deposit</t>
  </si>
  <si>
    <t>1</t>
  </si>
  <si>
    <t>BGA Truck &amp; Trailer Repair</t>
  </si>
  <si>
    <t>REMOTE ONLINE DEPOSIT # 1</t>
  </si>
  <si>
    <t>Zelle payment to MKD Express - Carrier JPM99ch6yrws</t>
  </si>
  <si>
    <t>Total for Trailer Maintenance</t>
  </si>
  <si>
    <t>Trailer Rentals</t>
  </si>
  <si>
    <t>Utility Trailers</t>
  </si>
  <si>
    <t>ONLINE DOMESTIC WIRE TRANSFER VIA: WELLS FARGO NA/XXXXX0248 A/C: UTILITY TRAILER SALES OF UTAH INC SALT LAKE CITY UT X4111 US REF: ACC XX4278 &amp; XX3803/TIME/18:4 9 IMAD: 0107MMQFMP2LXX3545 TRN: XXXXXX6007 ES 01/07</t>
  </si>
  <si>
    <t>Truck/Trailer:Trailer Rentals</t>
  </si>
  <si>
    <t>Boxwheel Trailer Leasing</t>
  </si>
  <si>
    <t>Online ACH Payment XXXXXXX5637 To BoxwheelTrailerLeasingLLC (_######9117)</t>
  </si>
  <si>
    <t>01/24/2026</t>
  </si>
  <si>
    <t>Xtra Lease</t>
  </si>
  <si>
    <t>ORIG CO NAME:XTRA LEASE ORIG ID:XXXXXX6274 DESC DATE: CO ENTRY DESCR:DIRECT PAYSEC:CCD TRACE#:XXXXXXXX4186544 EED:260126 IND ID:6 WK8T IND NAME:SHOW FREIGHT INC TRN: XXXXXX6544 TC</t>
  </si>
  <si>
    <t>McKinney Trailer Rentals</t>
  </si>
  <si>
    <t>Online RealTime vendor payment XXXXXXX5857 Payment Id REFERENCE#: XXXXXX5857RX to McKinney Vehicle Services Inc 3889</t>
  </si>
  <si>
    <t>Online RealTime vendor payment XXXXXXX2647 Payment Id REFERENCE#: XXXXXX2647RX to McKinney Vehicle Services Inc 3889</t>
  </si>
  <si>
    <t>ONLINE DOMESTIC WIRE TRANSFER VIA: WELLS FARGO NA/XXXXX0248 A/C: UTILITY TRAILER SALES OF UTAH INC SALT LAKE CITY UT X4111 US REF: ACC XX4278 &amp; XX3803/TIME/08:4 6 IMAD: 0204MMQFMP2KXX2176 TRN: XXXXXX6035 ES 02/04</t>
  </si>
  <si>
    <t>Online RealTime vendor payment XXXXXXX4010 Payment Id REFERENCE#: XXXXXX4010RX to McKinney Vehicle Services Inc 3889</t>
  </si>
  <si>
    <t>Online RealTime vendor payment XXXXXXX7532 Payment Id REFERENCE#: XXXXXX7532RX to McKinney Vehicle Services Inc 3889</t>
  </si>
  <si>
    <t>02/12/2026</t>
  </si>
  <si>
    <t>Online RealTime vendor payment XXXXXXX1765 Payment Id REFERENCE#: XXXXXX1765RX to McKinney Vehicle Services Inc 3889</t>
  </si>
  <si>
    <t>Online RealTime vendor payment XXXXXXX8752 Payment Id REFERENCE#: XXXXXX8752RX to McKinney Vehicle Services Inc 3889</t>
  </si>
  <si>
    <t>Online RealTime vendor payment XXXXXXX9185 Payment Id REFERENCE#: XXXXXX9185RX to McKinney Vehicle Services Inc 3889</t>
  </si>
  <si>
    <t>ONLINE DOMESTIC WIRE TRANSFER VIA: WELLS FARGO NA/XXXXX0248 A/C: UTILITY TRAILER SALES OF UTAH INC SALT LAKE CITY UT X4111 US REF: ACC XX4278 &amp; XX3803/TIME/09:0 3 IMAD: 0218MMQFMP2LXX1449 TRN: XXXXXX6049 ES 02/18</t>
  </si>
  <si>
    <t>02/21/2026</t>
  </si>
  <si>
    <t>ORIG CO NAME:XTRA LEASE ORIG ID:XXXXXX6274 DESC DATE: CO ENTRY DESCR:DIRECT PAYSEC:CCD TRACE#:XXXXXXXX2806729 EED:260223 IND ID:6 WK8T IND NAME:SHOW FREIGHT INC TRN: XXXXXX6729 TC</t>
  </si>
  <si>
    <t>Online RealTime vendor payment XXXXXXX5956 Payment Id REFERENCE#: XXXXXX5956RX to McKinney Vehicle Services Inc 3889</t>
  </si>
  <si>
    <t>03/07/2026</t>
  </si>
  <si>
    <t>ORIG CO NAME:XTRA LEASE ORIG ID:XXXXXX6274 DESC DATE: CO ENTRY DESCR:DIRECT PAYSEC:CCD TRACE#:XXXXXXXX9032615 EED:260309 IND ID:6 WK8T IND NAME:SHOW FREIGHT INC TRN: XXXXXX2615 TC</t>
  </si>
  <si>
    <t>03/14/2026</t>
  </si>
  <si>
    <t>Premier Trailers</t>
  </si>
  <si>
    <t>ORIG CO NAME:PREMIER TRAILERS ORIG ID:XXXXXX4536 DESC DATE: CO ENTRY DESCR:EDI PYMNTSSEC:CCD TRACE#:XXXXXXXX0132364 EED:260316 IND ID:395 DDDXX8005 IND NAME:SHOW FREIGHT INC EDI TRN: XXXXXX2364 TC</t>
  </si>
  <si>
    <t>03/18/2026</t>
  </si>
  <si>
    <t>Online RealTime vendor payment XXXXXXX4872 Payment Id REFERENCE#: XXXXXX4872RX to McKinney Vehicle Services Inc 3889</t>
  </si>
  <si>
    <t>03/21/2026</t>
  </si>
  <si>
    <t>ORIG CO NAME:XTRA LEASE ORIG ID:XXXXXX6274 DESC DATE: CO ENTRY DESCR:DIRECT PAYSEC:CCD TRACE#:XXXXXXXX2824855 EED:260323 IND ID:6 WK8T IND NAME:SHOW FREIGHT INC TRN: XXXXXX4855 TC</t>
  </si>
  <si>
    <t>Ten Trailer Leasing</t>
  </si>
  <si>
    <t>ONLINE DOMESTIC WIRE TRANSFER VIA: HUNT COL/XXXXX0024 A/C: STAR LEASING COMPANY LLC CLEVELAND OH X4101 US REF: SHOW FREIGHT XXXX6956 - INV XXXX2167 MINUS UNIT 1 XX1303PRA &amp; INV X4498 944 IMAD: 0324MMQFMP2KXX3488 TRN: XXXXXX6083 ES 03/24</t>
  </si>
  <si>
    <t>04/02/2026</t>
  </si>
  <si>
    <t>Online RealTime vendor payment XXXXXXX1231 Payment Id REFERENCE#: XXXXXX1231RX to McKinney Vehicle Services Inc 3889</t>
  </si>
  <si>
    <t>ONLINE DOMESTIC WIRE TRANSFER VIA: HUNT COL/XXXXX0024 A/C: STAR LEASING COMPANY LLC CLEVELAND OH X4101 US REF: INV XXXX8153 MINUS UNIT XXX1303PRA AND INV XX6213 60 IMAD: 0403MMQFMP2NXX4399 TRN: XXXXXX6093 ES 04/03</t>
  </si>
  <si>
    <t>ONLINE DOMESTIC WIRE TRANSFER VIA: WELLS FARGO NA/XXXXX0248 A/C: UTILITY TRAILER SALES OF UTAH INC SALT LAKE CITY UT X4111 US REF: INV BAXXXXX0562:01/TIME/09:33 IMAD: 0415MMQFMP2KXX3570 TRN: XXXXXX6105 ES 04/15</t>
  </si>
  <si>
    <t>ORIG CO NAME:PREMIER TRAILERS ORIG ID:XXXXXX4536 DESC DATE: CO ENTRY DESCR:EDI PYMNTSSEC:CCD TRACE#:XXXXXXXX2685966 EED:260415 IND ID:395 DDDXX8621 IND NAME:SHOW FREIGHT INC EDI TRN: XXXXXX5966 TC</t>
  </si>
  <si>
    <t>04/18/2026</t>
  </si>
  <si>
    <t>ORIG CO NAME:XTRA LEASE ORIG ID:XXXXXX6274 DESC DATE: CO ENTRY DESCR:DIRECT PAYSEC:CCD TRACE#:XXXXXXXX0432152 EED:260420 IND ID:6 WK8T IND NAME:SHOW FREIGHT INC TRN: XXXXXX2152 TC</t>
  </si>
  <si>
    <t>Online RealTime vendor payment XXXXXXX8086 Payment Id REFERENCE#: XXXXXX8086RX to McKinney Vehicle Services Inc 3889</t>
  </si>
  <si>
    <t>Online RealTime vendor payment XXXXXXX2920 Payment Id REFERENCE#: XXXXXX2920RX to McKinney Vehicle Services Inc 3889</t>
  </si>
  <si>
    <t>04/27/2026</t>
  </si>
  <si>
    <t>Online RealTime vendor payment XXXXXXX5704 Payment Id REFERENCE#: XXXXXX5704RX to McKinney Vehicle Services Inc 3889</t>
  </si>
  <si>
    <t>Ryder Truck Rentals</t>
  </si>
  <si>
    <t>ORIG CO NAME:Ryder Truck Rent ORIG ID:XXXXXX7035 DESC DATE: CO ENTRY DESCR:EDI PYMNTSSEC:CCD TRACE#:XXXXXXXX7586399 EED:260428 IND ID:XXXXXX1963 IND NAME:SHOW F REIGHT INC EDI TRN: XXXXXX6399 TC</t>
  </si>
  <si>
    <t>Online ACH Payment XXXXXXX4610 To BoxwheelTrailerLeasingLLC (_######9117)</t>
  </si>
  <si>
    <t>04/30/2026</t>
  </si>
  <si>
    <t>Online RealTime vendor payment XXXXXXX4330 Payment Id REFERENCE#: XXXXXX4330RX to McKinney Vehicle Services Inc 3889</t>
  </si>
  <si>
    <t>ONLINE DOMESTIC WIRE TRANSFER VIA: HUNT COL/XXXXX0024 A/C: STAR LEASING COMPANY LLC CLEVELAND OH X4101 US REF: INVOICE XXXX8239 IMAD: 0501MMQFMP2NXX7251 TRN: 32 XXXX6121ES 05/01</t>
  </si>
  <si>
    <t>Online ACH Payment XXXXXXX4280 To McKinneyVehicleServicesInc (_###3889)</t>
  </si>
  <si>
    <t>ONLINE DOMESTIC WIRE TRANSFER VIA: WELLS FARGO NA/XXXXX0248 A/C: UTILITY TRAILER SALES OF UTAH INC SALT LAKE CITY UT X4111 US REF: ACC XX4278 &amp; XX3803/TIME/07:3 8 IMAD: 0506MMQFMP2KXX3692 TRN: XXXXXX6126 ES 05/06</t>
  </si>
  <si>
    <t>05/11/2026</t>
  </si>
  <si>
    <t>Online ACH Payment XXXXXXX5642 To McKinneyVehicleServicesInc (_###3889)</t>
  </si>
  <si>
    <t>Online RealTime vendor payment XXXXXXX2586 Payment Id REFERENCE#: XXXXXX2586RX to McKinney Vehicle Services Inc 3889</t>
  </si>
  <si>
    <t>05/13/2026</t>
  </si>
  <si>
    <t>ONLINE DOMESTIC WIRE TRANSFER VIA: WELLS FARGO NA/XXXXX0248 A/C: UTILITY TRAILER SALES OF UTAH INC SALT LAKE CITY UT X4111 US REF: ACC XX4278 &amp; XX3803/TIME/07:3 8 IMAD: 0513MMQFMP2KXX4295 TRN: XXXXXX6133 ES 05/13</t>
  </si>
  <si>
    <t>ORIG CO NAME:PREMIER TRAILERS ORIG ID:XXXXXX4536 DESC DATE: CO ENTRY DESCR:EDI PYMNTSSEC:CCD TRACE#:XXXXXXXX8896098 EED:260515 IND ID:395 DDDXX9234 IND NAME:SHOW FREIGHT INC EDI TRN: XXXXXX6098 TC</t>
  </si>
  <si>
    <t>05/18/2026</t>
  </si>
  <si>
    <t>ORIG CO NAME:XTRA LEASE ORIG ID:XXXXXX6274 DESC DATE: CO ENTRY DESCR:DIRECT PAYSEC:CCD TRACE#:XXXXXXXX1358023 EED:260518 IND ID:6 WK8T IND NAME:SHOW FREIGHT INC TRN: XXXXXX8023 TC</t>
  </si>
  <si>
    <t>Online RealTime vendor payment XXXXXXX9853 Payment Id REFERENCE#: XXXXXX9853RX to McKinney Vehicle Services Inc 3889</t>
  </si>
  <si>
    <t>05/20/2026</t>
  </si>
  <si>
    <t>ONLINE DOMESTIC WIRE TRANSFER VIA: WELLS FARGO NA/XXXXX0248 A/C: UTILITY TRAILER SALES OF UTAH INC SALT LAKE CITY UT X4111 US REF: ACC XX4278 &amp; XX3803/TIME/07:3 9 IMAD: 0520MMQFMP2LXX2205 TRN: XXXXXX6140 ES 05/20</t>
  </si>
  <si>
    <t>05/21/2026</t>
  </si>
  <si>
    <t>ONLINE DOMESTIC WIRE TRANSFER VIA: HUNT COL/XXXXX0024 A/C: STAR LEASING COMPANY LLC CLEVELAND OH X4101 US REF: XXXX2990, XXXX4336, XXXX0217, XXXX1982 IMAD: 0521 MMQFMP2MXX5700 TRN: XXXXXX6141 ES 05/21</t>
  </si>
  <si>
    <t>Online RealTime vendor payment XXXXXXX6695 Payment Id REFERENCE#: XXXXXX6695RX to McKinney Vehicle Services Inc 3889</t>
  </si>
  <si>
    <t>05/27/2026</t>
  </si>
  <si>
    <t>ONLINE DOMESTIC WIRE TRANSFER VIA: WELLS FARGO NA/XXXXX0248 A/C: UTILITY TRAILER SALES OF UTAH INC SALT LAKE CITY UT X4111 US REF: ACC XX4278 &amp; XX3803/TIME/08:0 1 IMAD: 0527MMQFMP2NXX1901 TRN: XXXXXX6147 ES 05/27</t>
  </si>
  <si>
    <t>ORIG CO NAME:Ryder Truck Rent ORIG ID:XXXXXX7035 DESC DATE: CO ENTRY DESCR:EDI PYMNTSSEC:CCD TRACE#:XXXXXXXX1924536 EED:260527 IND ID:XXXXXX4338 IND NAME:SHOW F REIGHT INC EDI TRN: XXXXXX4536 TC</t>
  </si>
  <si>
    <t>Online ACH Payment XXXXXXX9889 To McKinneyVehicleServicesInc (_###3889)</t>
  </si>
  <si>
    <t>Online RealTime vendor payment XXXXXXX6663 Payment Id REFERENCE#: XXXXXX6663RX to McKinney Vehicle Services Inc 3889</t>
  </si>
  <si>
    <t>ONLINE DOMESTIC WIRE TRANSFER VIA: WELLS FARGO NA/XXXXX0248 A/C: UTILITY TRAILER SALES OF UTAH INC SALT LAKE CITY UT X4111 US REF: ACC XX4278 &amp; XX3803/TIME/08:0 3 IMAD: 0603MMQFMP2LXX2452 TRN: XXXXXX6154 ES 06/03</t>
  </si>
  <si>
    <t>Total for Trailer Rentals</t>
  </si>
  <si>
    <t>Truck Maintenance</t>
  </si>
  <si>
    <t>Prime Washing</t>
  </si>
  <si>
    <t>IN *PRIME ENTERPRISES XXX-XXX6668 NV 01/21</t>
  </si>
  <si>
    <t>Truck/Trailer:Truck Maintenance</t>
  </si>
  <si>
    <t>02/02/2026</t>
  </si>
  <si>
    <t>U.S. AutoForce</t>
  </si>
  <si>
    <t>U.S. AUTOFORCE XXX-XXX-4929 WI 02/02</t>
  </si>
  <si>
    <t>02/05/2026</t>
  </si>
  <si>
    <t>U.S. AUTOFORCE APPLETON WI 02/05</t>
  </si>
  <si>
    <t>Titan Auto Glass</t>
  </si>
  <si>
    <t>Zelle payment to Titan Auto Glass JPM99c57y6j1
WINDSHIELD REPLACEMENT</t>
  </si>
  <si>
    <t>City to City Towing</t>
  </si>
  <si>
    <t>Zelle payment to City to City Towing JPM99c5c34ch
TOWING 2016 MACK TRUCKS TO DMV - VIN VERIFICATION</t>
  </si>
  <si>
    <t>Canos Batteries</t>
  </si>
  <si>
    <t>CANOS BATTERIES XXX-XXX0522 NV 02/12</t>
  </si>
  <si>
    <t>Dahnifu Watson</t>
  </si>
  <si>
    <t>Online RealTime payroll payment XXXXXXX2262 Payment Id REFERENCE#: XXXXXX2262RX to 1115
MAINTENANCE FOR TRUCK IN AZ</t>
  </si>
  <si>
    <t>U.S. AUTOFORCE XXX-XXX-4929 WI 02/18</t>
  </si>
  <si>
    <t>U.S. AUTOFORCE APPLETON WI 02/20</t>
  </si>
  <si>
    <t>TZ Parts</t>
  </si>
  <si>
    <t>TZ PARTS, INC TZPARTS.COM IL 02/25</t>
  </si>
  <si>
    <t>03/05/2026</t>
  </si>
  <si>
    <t>Ebay</t>
  </si>
  <si>
    <t>eBay O*XX-XXXXX-X1584 San Jose CA 03/05
TRUCK BUMPER</t>
  </si>
  <si>
    <t>03/11/2026</t>
  </si>
  <si>
    <t>San Francisco Heavy Equipment Repair, Inc.</t>
  </si>
  <si>
    <t>ORIG CO NAME:SAN FRANCISCO HE ORIG ID:XXXXXX6202 DESC DATE:260311 CO ENTRY DESCR:SALE SEC:CCD TRACE#:XXXXXXXX5260202 EED:260311 IND ID: IND NAME:SHOW FREIGHT IN C. TRN: XXXXXX0202 TC</t>
  </si>
  <si>
    <t>Zelle payment to City to City Towing JPM99ces23p6</t>
  </si>
  <si>
    <t>Zelle payment to City to City Towing JPM99cf54qcf</t>
  </si>
  <si>
    <t>U.S. AUTOFORCE XXX-XXX-4929 WI 05/12</t>
  </si>
  <si>
    <t>Nevada Diesel</t>
  </si>
  <si>
    <t>Zelle payment to Nevada Diesel JPM99cgy7nva</t>
  </si>
  <si>
    <t>Total for Truck Maintenance</t>
  </si>
  <si>
    <t>Truck Rentals</t>
  </si>
  <si>
    <t>01/10/2026</t>
  </si>
  <si>
    <t>Penske</t>
  </si>
  <si>
    <t>ORIG CO NAME:PENSKE TRUCK ORIG ID:XXXXXX8618 DESC DATE:260109 CO ENTRY DESCR:RECEIVE SEC:CCD TRACE#:XXXXXXXX2518764 EED:260112 IND ID:776957 IND NAME:SHOW FREIG HT INC XXXXXX4279 TRN: XXXXXX8764 TC</t>
  </si>
  <si>
    <t>Truck/Trailer:Truck Rentals</t>
  </si>
  <si>
    <t>01/15/2026</t>
  </si>
  <si>
    <t>TEC</t>
  </si>
  <si>
    <t>ORIG CO NAME:TRANSCO LEASING ORIG ID:XXXXXX3564 DESC DATE: CO ENTRY DESCR:ACH Pull SEC:CCD TRACE#:XXXXXXXX6948452 EED:260115 IND ID:10002608 IND NAME:Show Freig ht, Inc. 1/15/26 balance due\ TRN: XXXXXX8452 TC</t>
  </si>
  <si>
    <t>Show Freight TN (0870)</t>
  </si>
  <si>
    <t>01/26/2026</t>
  </si>
  <si>
    <t>ORIG CO NAME:TRANSCO LEASING ORIG ID:XXXXXX3564 DESC DATE: CO ENTRY DESCR:ACH Pull SEC:CCD TRACE#:XXXXXXXX3960766 EED:260126 IND ID:10002608 IND NAME:Show Freig ht, Inc. 1/25/26 balance due\ TRN: XXXXXX0766 TC</t>
  </si>
  <si>
    <t>01/29/2026</t>
  </si>
  <si>
    <t>TCI</t>
  </si>
  <si>
    <t>Online RealTime vendor payment XXXXXXX2283 Payment Id REFERENCE#: XXXXXX2283RX to TCI 3525</t>
  </si>
  <si>
    <t>Mercury Insurance</t>
  </si>
  <si>
    <t>REMOTE ONLINE DEPOSIT # 1
MERCURY INSURANCE - DIEGO SALAZAR - PROPERTY DAMAGE CLAIM 9/19/25
PAID BY TEC ORIGINALLY</t>
  </si>
  <si>
    <t>Online RealTime vendor payment XXXXXXX9494 Payment Id REFERENCE#: XXXXXX9494RX to TCI 3525</t>
  </si>
  <si>
    <t>Online RealTime vendor payment XXXXXXX1849 Payment Id REFERENCE#: XXXXXX1849RX to TCI 3525</t>
  </si>
  <si>
    <t>Online RealTime vendor payment XXXXXXX6078 Payment Id REFERENCE#: XXXXXX6078RX to TCI 3525</t>
  </si>
  <si>
    <t>Online RealTime vendor payment XXXXXXX8953 Payment Id REFERENCE#: XXXXXX8953RX to TCI 3525</t>
  </si>
  <si>
    <t>ORIG CO NAME:PENSKE TRUCK ORIG ID:XXXXXX8618 DESC DATE:260209 CO ENTRY DESCR:RECEIVE SEC:CCD TRACE#:XXXXXXXX0438734 EED:260210 IND ID:783449 IND NAME:SHOW FREIG HT INC XXXXXX4279 TRN: XXXXXX8734 TC</t>
  </si>
  <si>
    <t>Online RealTime vendor payment XXXXXXX4245 Payment Id REFERENCE#: XXXXXX4245RX to TCI 3525</t>
  </si>
  <si>
    <t>ORIG CO NAME:TRANSCO LEASING ORIG ID:XXXXXX3564 DESC DATE: CO ENTRY DESCR:ACH Pull SEC:CCD TRACE#:XXXXXXXX1888963 EED:260217 IND ID:10002608 IND NAME:Show Freig ht, Inc. 2/15/26 balance due\ TRN: XXXXXX8963 TC</t>
  </si>
  <si>
    <t>Online RealTime vendor payment XXXXXXX3260 Payment Id REFERENCE#: XXXXXX3260RX to TCI 3525</t>
  </si>
  <si>
    <t>ORIG CO NAME:TRANSCO LEASING ORIG ID:XXXXXX3564 DESC DATE: CO ENTRY DESCR:ACH Pull SEC:CCD TRACE#:XXXXXXXX5029642 EED:260225 IND ID:10002608 IND NAME:Show Freig ht, Inc. 2/25/26 balance due\ TRN: XXXXXX9642 TC</t>
  </si>
  <si>
    <t>ORIG CO NAME:PENSKE TRUCK ORIG ID:XXXXXX8618 DESC DATE:260309 CO ENTRY DESCR:RECEIVE SEC:CCD TRACE#:XXXXXXXX9122901 EED:260310 IND ID:791699 IND NAME:SHOW FREIG HT INC XXXXXX4279 TRN: XXXXXX2901 TC</t>
  </si>
  <si>
    <t>Online RealTime vendor payment XXXXXXX9598 Payment Id REFERENCE#: XXXXXX9598RX to TCI 3525</t>
  </si>
  <si>
    <t>03/19/2026</t>
  </si>
  <si>
    <t>ONLINE DOMESTIC WIRE TRANSFER VIA: BK AMER NYC/XXXXX9593 A/C: RYDER TRUCK RENTAL INC CHICAGO IL X0693 US REF: SHOW FREIGHT INC CDAXXXX0915 IMAD: 0319MMQFMP2L023 234 TRN: XXXXXX6078 ES 03/19
DEPOSIT FOR TWO OTR TRUCKS</t>
  </si>
  <si>
    <t>03/25/2026</t>
  </si>
  <si>
    <t>ORIG CO NAME:TRANSCO LEASING ORIG ID:XXXXXX3564 DESC DATE: CO ENTRY DESCR:ACH Pull SEC:CCD TRACE#:XXXXXXXX6531150 EED:260325 IND ID:10002608 IND NAME:Show Freig ht, Inc. 3/25/26 balance due\ TRN: XXXXXX1150 TC</t>
  </si>
  <si>
    <t>Online RealTime vendor payment XXXXXXX9862 Payment Id REFERENCE#: XXXXXX9862RX to TCI 3525</t>
  </si>
  <si>
    <t>ORIG CO NAME:PENSKE TRUCK ORIG ID:XXXXXX8618 DESC DATE:260409 CO ENTRY DESCR:RECEIVE SEC:CCD TRACE#:XXXXXXXX6029788 EED:260410 IND ID:800089 IND NAME:SHOW FREIG HT INC XXXXXX4279 TRN: XXXXXX9788 TC</t>
  </si>
  <si>
    <t>04/13/2026</t>
  </si>
  <si>
    <t>Online RealTime vendor payment XXXXXXX6932 Payment Id REFERENCE#: XXXXXX6932RX to TCI 3525</t>
  </si>
  <si>
    <t>Online RealTime vendor payment XXXXXXX7531 Payment Id REFERENCE#: XXXXXX7531RX to TCI 3525</t>
  </si>
  <si>
    <t>04/23/2026</t>
  </si>
  <si>
    <t>Online RealTime vendor payment XXXXXXX6858 Payment Id REFERENCE#: XXXXXX6858RX to TCI 3525</t>
  </si>
  <si>
    <t>ORIG CO NAME:TRANSCO LEASING ORIG ID:XXXXXX3564 DESC DATE: CO ENTRY DESCR:ACH Pull SEC:CCD TRACE#:XXXXXXXX2690181 EED:260427 IND ID:10002608 IND NAME:Show Freig ht, Inc. 4/25/26 balance due\ TRN: XXXXXX0181 TC</t>
  </si>
  <si>
    <t>Online RealTime vendor payment XXXXXXX3637 Payment Id REFERENCE#: XXXXXX3637RX to TCI 3525</t>
  </si>
  <si>
    <t>05/04/2026</t>
  </si>
  <si>
    <t>Online RealTime vendor payment XXXXXXX2072 Payment Id REFERENCE#: XXXXXX2072RX to TCI 3525</t>
  </si>
  <si>
    <t>Online RealTime vendor payment XXXXXXX6015 Payment Id REFERENCE#: XXXXXX6015RX to TCI 3525</t>
  </si>
  <si>
    <t>Online ACH Payment XXXXXXX6479 To TCI (_######3525)</t>
  </si>
  <si>
    <t>05/09/2026</t>
  </si>
  <si>
    <t>ORIG CO NAME:PENSKE TRUCK ORIG ID:XXXXXX8618 DESC DATE:260508 CO ENTRY DESCR:RECEIVE SEC:CCD TRACE#:XXXXXXXX2457052 EED:260511 IND ID:808595 IND NAME:SHOW FREIG HT INC XXXXXX4279 TRN: XXXXXX7052 TC</t>
  </si>
  <si>
    <t>Online RealTime vendor payment XXXXXXX5847 Payment Id REFERENCE#: XXXXXX5847RX to TCI 3525</t>
  </si>
  <si>
    <t>Online RealTime vendor payment XXXXXXX5272 Payment Id REFERENCE#: XXXXXX5272RX to TCI 3525</t>
  </si>
  <si>
    <t>Online RealTime vendor payment XXXXXXX6225 Payment Id REFERENCE#: XXXXXX6225RX to TCI 3525</t>
  </si>
  <si>
    <t>ORIG CO NAME:TRANSCO LEASING ORIG ID:XXXXXX3564 DESC DATE: CO ENTRY DESCR:ACH Pull SEC:CCD TRACE#:XXXXXXXX4660341 EED:260526 IND ID:10002608 IND NAME:Show Freig ht, Inc. 05/25/26 balance due\ TRN: XXXXXX0341 TC</t>
  </si>
  <si>
    <t>ORIG CO NAME:Ryder Truck Rent ORIG ID:XXXXXX7035 DESC DATE: CO ENTRY DESCR:EDI PYMNTSSEC:CCD TRACE#:XXXXXXXX1924554 EED:260527 IND ID:XXXXXX5707 IND NAME:SHOW F REIGHT INC EDI TRN: XXXXXX4554 TC</t>
  </si>
  <si>
    <t>ORIG CO NAME:Ryder Truck Rent ORIG ID:XXXXXX7035 DESC DATE: CO ENTRY DESCR:EDI PYMNTSSEC:CCD TRACE#:XXXXXXXX1924552 EED:260527 IND ID:XXXXXX6816 IND NAME:SHOW F REIGHT INC EDI TRN: XXXXXX4552 TC</t>
  </si>
  <si>
    <t>06/04/2026</t>
  </si>
  <si>
    <t>ONLINE DOMESTIC WIRE TRANSFER VIA: PNCBANK PITT/XXXXX0096 A/C: PENSKE TRUCK LEASING CO LP ROUTE 10 GREEN HILLS PA X9607 US REF: DEAL NUMBER DCNXX0222 - SHOW FRE IGHT DEPOSIT IMAD: 0604MMQFMP2KXX5976 TRN: XXXXXX6155 ES 06/04</t>
  </si>
  <si>
    <t>Total for Truck Rentals</t>
  </si>
  <si>
    <t>Worker Uniforms</t>
  </si>
  <si>
    <t>01/01/2026</t>
  </si>
  <si>
    <t>Unifirst</t>
  </si>
  <si>
    <t>UNIFIRST CORPORATION XXX-XXX-8888 MA 01/02</t>
  </si>
  <si>
    <t>Truck/Trailer:Worker Uniforms</t>
  </si>
  <si>
    <t>01/31/2026</t>
  </si>
  <si>
    <t>UNIFIRST CORPORATION XXX-XXX-8888 MA 02/01</t>
  </si>
  <si>
    <t>02/28/2026</t>
  </si>
  <si>
    <t>UNIFIRST CORPORATION XXX-XXX-8888 MA 03/01</t>
  </si>
  <si>
    <t>Safety Guard Shoe</t>
  </si>
  <si>
    <t>SAF-GARD SAFETY SHOE</t>
  </si>
  <si>
    <t>Midfirst Credit Card</t>
  </si>
  <si>
    <t>04/01/2026</t>
  </si>
  <si>
    <t>UNIFIRST CORPORATION XXX-XXX-8888 MA 04/02</t>
  </si>
  <si>
    <t>UNIFIRST CORPORATION XXX-XXX-8888 MA 05/02</t>
  </si>
  <si>
    <t>06/01/2026</t>
  </si>
  <si>
    <t>UNIFIRST CORPORATION XXX-XXX-8888 MA 06/02</t>
  </si>
  <si>
    <t>Total for Worker Uniforms</t>
  </si>
  <si>
    <t>Total for Truck/Trailer with sub-accounts</t>
  </si>
  <si>
    <t>TOTAL</t>
  </si>
  <si>
    <t>Transaction date</t>
  </si>
  <si>
    <t>Transaction type</t>
  </si>
  <si>
    <t>Num</t>
  </si>
  <si>
    <t>Name</t>
  </si>
  <si>
    <t>Description</t>
  </si>
  <si>
    <t>Full name</t>
  </si>
  <si>
    <t>Item split account</t>
  </si>
  <si>
    <t>Amount</t>
  </si>
  <si>
    <t>Balance</t>
  </si>
  <si>
    <t>Accrual Basis Monday, June 08, 2026 04:59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</si>
</sst>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39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J239"/>
  <sheetViews>
    <sheetView tabSelected="1" workbookViewId="0" topLeftCell="A1"/>
  </sheetViews>
  <sheetFormatPr defaultColWidth="11.255" defaultRowHeight="16"/>
  <cols>
    <col min="1" max="1" width="35.875" style="26" customWidth="1"/>
    <col min="2" max="3" width="14.375" style="26" customWidth="1"/>
    <col min="4" max="4" width="9.25" style="26" customWidth="1"/>
    <col min="5" max="5" width="36.75" style="26" customWidth="1"/>
    <col min="6" max="6" width="86.625" style="26" customWidth="1"/>
    <col min="7" max="7" width="29" style="26" customWidth="1"/>
    <col min="8" max="8" width="24.75" style="26" customWidth="1"/>
    <col min="9" max="10" width="16.125" style="26" customWidth="1"/>
  </cols>
  <sheetData>
    <row r="1" spans="1:1" ht="16">
      <c r="A1" s="30" t="s">
        <v>0</v>
      </c>
    </row>
    <row r="2" spans="1:1" ht="16">
      <c r="A2" s="31" t="s">
        <v>1</v>
      </c>
    </row>
    <row r="3" spans="1:1" ht="16">
      <c r="A3" s="32" t="s">
        <v>2</v>
      </c>
    </row>
    <row r="5" spans="2:10" ht="16">
      <c r="B5" s="27" t="s">
        <v>394</v>
      </c>
      <c r="C5" s="27" t="s">
        <v>395</v>
      </c>
      <c r="D5" s="27" t="s">
        <v>396</v>
      </c>
      <c r="E5" s="27" t="s">
        <v>397</v>
      </c>
      <c r="F5" s="27" t="s">
        <v>398</v>
      </c>
      <c r="G5" s="27" t="s">
        <v>399</v>
      </c>
      <c r="H5" s="27" t="s">
        <v>400</v>
      </c>
      <c r="I5" s="27" t="s">
        <v>401</v>
      </c>
      <c r="J5" s="27" t="s">
        <v>402</v>
      </c>
    </row>
    <row r="6" spans="1:1" ht="16">
      <c r="A6" s="33" t="s">
        <v>3</v>
      </c>
    </row>
    <row r="7" spans="1:1" ht="16">
      <c r="A7" s="34" t="s">
        <v>4</v>
      </c>
    </row>
    <row r="8" spans="2:10" ht="16">
      <c r="B8" s="25" t="s">
        <v>5</v>
      </c>
      <c r="C8" s="25" t="s">
        <v>6</v>
      </c>
      <c r="D8" s="25" t="s">
        <v>7</v>
      </c>
      <c r="E8" s="25" t="s">
        <v>8</v>
      </c>
      <c r="F8" s="25" t="s">
        <v>9</v>
      </c>
      <c r="G8" s="25" t="s">
        <v>10</v>
      </c>
      <c r="H8" s="25" t="s">
        <v>11</v>
      </c>
      <c r="I8" s="28">
        <v>2025.08</v>
      </c>
      <c r="J8" s="28">
        <v>2025.08</v>
      </c>
    </row>
    <row r="9" spans="2:10" ht="16">
      <c r="B9" s="25" t="s">
        <v>12</v>
      </c>
      <c r="C9" s="25" t="s">
        <v>6</v>
      </c>
      <c r="D9" s="25" t="s">
        <v>7</v>
      </c>
      <c r="E9" s="25" t="s">
        <v>13</v>
      </c>
      <c r="F9" s="25" t="s">
        <v>14</v>
      </c>
      <c r="G9" s="25" t="s">
        <v>10</v>
      </c>
      <c r="H9" s="25" t="s">
        <v>11</v>
      </c>
      <c r="I9" s="28">
        <v>2496.59</v>
      </c>
      <c r="J9" s="28">
        <v>4521.67</v>
      </c>
    </row>
    <row r="10" spans="2:10" ht="16">
      <c r="B10" s="25" t="s">
        <v>15</v>
      </c>
      <c r="C10" s="25" t="s">
        <v>6</v>
      </c>
      <c r="D10" s="25" t="s">
        <v>7</v>
      </c>
      <c r="E10" s="25" t="s">
        <v>16</v>
      </c>
      <c r="F10" s="25" t="s">
        <v>17</v>
      </c>
      <c r="G10" s="25" t="s">
        <v>10</v>
      </c>
      <c r="H10" s="25" t="s">
        <v>11</v>
      </c>
      <c r="I10" s="28">
        <v>1128.48</v>
      </c>
      <c r="J10" s="28">
        <v>5650.15</v>
      </c>
    </row>
    <row r="11" spans="2:10" ht="16">
      <c r="B11" s="25" t="s">
        <v>18</v>
      </c>
      <c r="C11" s="25" t="s">
        <v>6</v>
      </c>
      <c r="D11" s="25" t="s">
        <v>7</v>
      </c>
      <c r="E11" s="25" t="s">
        <v>13</v>
      </c>
      <c r="F11" s="25" t="s">
        <v>19</v>
      </c>
      <c r="G11" s="25" t="s">
        <v>10</v>
      </c>
      <c r="H11" s="25" t="s">
        <v>11</v>
      </c>
      <c r="I11" s="28">
        <v>4528.88</v>
      </c>
      <c r="J11" s="28">
        <v>10179.029999999999</v>
      </c>
    </row>
    <row r="12" spans="2:10" ht="16">
      <c r="B12" s="25" t="s">
        <v>20</v>
      </c>
      <c r="C12" s="25" t="s">
        <v>6</v>
      </c>
      <c r="D12" s="25" t="s">
        <v>7</v>
      </c>
      <c r="E12" s="25" t="s">
        <v>8</v>
      </c>
      <c r="F12" s="25" t="s">
        <v>21</v>
      </c>
      <c r="G12" s="25" t="s">
        <v>10</v>
      </c>
      <c r="H12" s="25" t="s">
        <v>11</v>
      </c>
      <c r="I12" s="28">
        <v>5753.99</v>
      </c>
      <c r="J12" s="28">
        <v>15933.019999999999</v>
      </c>
    </row>
    <row r="13" spans="2:10" ht="16">
      <c r="B13" s="25" t="s">
        <v>22</v>
      </c>
      <c r="C13" s="25" t="s">
        <v>6</v>
      </c>
      <c r="D13" s="25" t="s">
        <v>7</v>
      </c>
      <c r="E13" s="25" t="s">
        <v>16</v>
      </c>
      <c r="F13" s="25" t="s">
        <v>23</v>
      </c>
      <c r="G13" s="25" t="s">
        <v>10</v>
      </c>
      <c r="H13" s="25" t="s">
        <v>11</v>
      </c>
      <c r="I13" s="28">
        <v>1507.44</v>
      </c>
      <c r="J13" s="28">
        <v>17440.46</v>
      </c>
    </row>
    <row r="14" spans="2:10" ht="16">
      <c r="B14" s="25" t="s">
        <v>24</v>
      </c>
      <c r="C14" s="25" t="s">
        <v>6</v>
      </c>
      <c r="D14" s="25" t="s">
        <v>7</v>
      </c>
      <c r="E14" s="25" t="s">
        <v>8</v>
      </c>
      <c r="F14" s="25" t="s">
        <v>25</v>
      </c>
      <c r="G14" s="25" t="s">
        <v>10</v>
      </c>
      <c r="H14" s="25" t="s">
        <v>11</v>
      </c>
      <c r="I14" s="28">
        <v>5088.22</v>
      </c>
      <c r="J14" s="28">
        <v>22528.68</v>
      </c>
    </row>
    <row r="15" spans="2:10" ht="16">
      <c r="B15" s="25" t="s">
        <v>26</v>
      </c>
      <c r="C15" s="25" t="s">
        <v>6</v>
      </c>
      <c r="D15" s="25" t="s">
        <v>7</v>
      </c>
      <c r="E15" s="25" t="s">
        <v>8</v>
      </c>
      <c r="F15" s="25" t="s">
        <v>27</v>
      </c>
      <c r="G15" s="25" t="s">
        <v>10</v>
      </c>
      <c r="H15" s="25" t="s">
        <v>11</v>
      </c>
      <c r="I15" s="28">
        <v>8996.16</v>
      </c>
      <c r="J15" s="28">
        <v>31524.84</v>
      </c>
    </row>
    <row r="16" spans="2:10" ht="16">
      <c r="B16" s="25" t="s">
        <v>28</v>
      </c>
      <c r="C16" s="25" t="s">
        <v>6</v>
      </c>
      <c r="D16" s="25" t="s">
        <v>7</v>
      </c>
      <c r="E16" s="25" t="s">
        <v>16</v>
      </c>
      <c r="F16" s="25" t="s">
        <v>29</v>
      </c>
      <c r="G16" s="25" t="s">
        <v>10</v>
      </c>
      <c r="H16" s="25" t="s">
        <v>11</v>
      </c>
      <c r="I16" s="28">
        <v>1941.9</v>
      </c>
      <c r="J16" s="28">
        <v>33466.74</v>
      </c>
    </row>
    <row r="17" spans="2:10" ht="16">
      <c r="B17" s="25" t="s">
        <v>30</v>
      </c>
      <c r="C17" s="25" t="s">
        <v>6</v>
      </c>
      <c r="D17" s="25" t="s">
        <v>7</v>
      </c>
      <c r="E17" s="25" t="s">
        <v>8</v>
      </c>
      <c r="F17" s="25" t="s">
        <v>31</v>
      </c>
      <c r="G17" s="25" t="s">
        <v>10</v>
      </c>
      <c r="H17" s="25" t="s">
        <v>11</v>
      </c>
      <c r="I17" s="28">
        <v>8063.68</v>
      </c>
      <c r="J17" s="28">
        <v>41530.42</v>
      </c>
    </row>
    <row r="18" spans="2:10" ht="16">
      <c r="B18" s="25" t="s">
        <v>32</v>
      </c>
      <c r="C18" s="25" t="s">
        <v>6</v>
      </c>
      <c r="D18" s="25" t="s">
        <v>7</v>
      </c>
      <c r="E18" s="25" t="s">
        <v>8</v>
      </c>
      <c r="F18" s="25" t="s">
        <v>33</v>
      </c>
      <c r="G18" s="25" t="s">
        <v>10</v>
      </c>
      <c r="H18" s="25" t="s">
        <v>11</v>
      </c>
      <c r="I18" s="28">
        <v>6748.64</v>
      </c>
      <c r="J18" s="28">
        <v>48279.06</v>
      </c>
    </row>
    <row r="19" spans="2:10" ht="16">
      <c r="B19" s="25" t="s">
        <v>34</v>
      </c>
      <c r="C19" s="25" t="s">
        <v>6</v>
      </c>
      <c r="D19" s="25" t="s">
        <v>7</v>
      </c>
      <c r="E19" s="25" t="s">
        <v>16</v>
      </c>
      <c r="F19" s="25" t="s">
        <v>35</v>
      </c>
      <c r="G19" s="25" t="s">
        <v>10</v>
      </c>
      <c r="H19" s="25" t="s">
        <v>11</v>
      </c>
      <c r="I19" s="28">
        <v>1067.97</v>
      </c>
      <c r="J19" s="28">
        <v>49347.03</v>
      </c>
    </row>
    <row r="20" spans="2:10" ht="16">
      <c r="B20" s="25" t="s">
        <v>36</v>
      </c>
      <c r="C20" s="25" t="s">
        <v>6</v>
      </c>
      <c r="D20" s="25" t="s">
        <v>7</v>
      </c>
      <c r="E20" s="25" t="s">
        <v>8</v>
      </c>
      <c r="F20" s="25" t="s">
        <v>37</v>
      </c>
      <c r="G20" s="25" t="s">
        <v>10</v>
      </c>
      <c r="H20" s="25" t="s">
        <v>11</v>
      </c>
      <c r="I20" s="28">
        <v>5422.61</v>
      </c>
      <c r="J20" s="28">
        <v>54769.64</v>
      </c>
    </row>
    <row r="21" spans="2:10" ht="16">
      <c r="B21" s="25" t="s">
        <v>38</v>
      </c>
      <c r="C21" s="25" t="s">
        <v>6</v>
      </c>
      <c r="D21" s="25" t="s">
        <v>7</v>
      </c>
      <c r="E21" s="25" t="s">
        <v>8</v>
      </c>
      <c r="F21" s="25" t="s">
        <v>39</v>
      </c>
      <c r="G21" s="25" t="s">
        <v>10</v>
      </c>
      <c r="H21" s="25" t="s">
        <v>11</v>
      </c>
      <c r="I21" s="28">
        <v>4806.08</v>
      </c>
      <c r="J21" s="28">
        <v>59575.72</v>
      </c>
    </row>
    <row r="22" spans="2:10" ht="16">
      <c r="B22" s="25" t="s">
        <v>40</v>
      </c>
      <c r="C22" s="25" t="s">
        <v>6</v>
      </c>
      <c r="D22" s="25" t="s">
        <v>7</v>
      </c>
      <c r="E22" s="25" t="s">
        <v>16</v>
      </c>
      <c r="F22" s="25" t="s">
        <v>41</v>
      </c>
      <c r="G22" s="25" t="s">
        <v>10</v>
      </c>
      <c r="H22" s="25" t="s">
        <v>11</v>
      </c>
      <c r="I22" s="28">
        <v>1299.94</v>
      </c>
      <c r="J22" s="28">
        <v>60875.66</v>
      </c>
    </row>
    <row r="23" spans="2:10" ht="16">
      <c r="B23" s="25" t="s">
        <v>42</v>
      </c>
      <c r="C23" s="25" t="s">
        <v>6</v>
      </c>
      <c r="D23" s="25" t="s">
        <v>7</v>
      </c>
      <c r="E23" s="25" t="s">
        <v>8</v>
      </c>
      <c r="F23" s="25" t="s">
        <v>43</v>
      </c>
      <c r="G23" s="25" t="s">
        <v>10</v>
      </c>
      <c r="H23" s="25" t="s">
        <v>11</v>
      </c>
      <c r="I23" s="28">
        <v>5340.34</v>
      </c>
      <c r="J23" s="28">
        <v>66216.0</v>
      </c>
    </row>
    <row r="24" spans="2:10" ht="16">
      <c r="B24" s="25" t="s">
        <v>44</v>
      </c>
      <c r="C24" s="25" t="s">
        <v>6</v>
      </c>
      <c r="D24" s="25" t="s">
        <v>7</v>
      </c>
      <c r="E24" s="25" t="s">
        <v>8</v>
      </c>
      <c r="F24" s="25" t="s">
        <v>45</v>
      </c>
      <c r="G24" s="25" t="s">
        <v>10</v>
      </c>
      <c r="H24" s="25" t="s">
        <v>11</v>
      </c>
      <c r="I24" s="28">
        <v>3700.23</v>
      </c>
      <c r="J24" s="28">
        <v>69916.23</v>
      </c>
    </row>
    <row r="25" spans="2:10" ht="16">
      <c r="B25" s="25" t="s">
        <v>46</v>
      </c>
      <c r="C25" s="25" t="s">
        <v>6</v>
      </c>
      <c r="D25" s="25" t="s">
        <v>7</v>
      </c>
      <c r="E25" s="25" t="s">
        <v>16</v>
      </c>
      <c r="F25" s="25" t="s">
        <v>47</v>
      </c>
      <c r="G25" s="25" t="s">
        <v>10</v>
      </c>
      <c r="H25" s="25" t="s">
        <v>11</v>
      </c>
      <c r="I25" s="28">
        <v>562.3</v>
      </c>
      <c r="J25" s="28">
        <v>70478.53</v>
      </c>
    </row>
    <row r="26" spans="2:10" ht="16">
      <c r="B26" s="25" t="s">
        <v>48</v>
      </c>
      <c r="C26" s="25" t="s">
        <v>6</v>
      </c>
      <c r="D26" s="25" t="s">
        <v>7</v>
      </c>
      <c r="E26" s="25" t="s">
        <v>8</v>
      </c>
      <c r="F26" s="25" t="s">
        <v>49</v>
      </c>
      <c r="G26" s="25" t="s">
        <v>10</v>
      </c>
      <c r="H26" s="25" t="s">
        <v>11</v>
      </c>
      <c r="I26" s="28">
        <v>5353.13</v>
      </c>
      <c r="J26" s="28">
        <v>75831.66</v>
      </c>
    </row>
    <row r="27" spans="2:10" ht="16">
      <c r="B27" s="25" t="s">
        <v>50</v>
      </c>
      <c r="C27" s="25" t="s">
        <v>6</v>
      </c>
      <c r="D27" s="25" t="s">
        <v>7</v>
      </c>
      <c r="E27" s="25" t="s">
        <v>8</v>
      </c>
      <c r="F27" s="25" t="s">
        <v>51</v>
      </c>
      <c r="G27" s="25" t="s">
        <v>10</v>
      </c>
      <c r="H27" s="25" t="s">
        <v>11</v>
      </c>
      <c r="I27" s="28">
        <v>4761.78</v>
      </c>
      <c r="J27" s="28">
        <v>80593.44</v>
      </c>
    </row>
    <row r="28" spans="2:10" ht="16">
      <c r="B28" s="25" t="s">
        <v>52</v>
      </c>
      <c r="C28" s="25" t="s">
        <v>6</v>
      </c>
      <c r="D28" s="25" t="s">
        <v>7</v>
      </c>
      <c r="E28" s="25" t="s">
        <v>16</v>
      </c>
      <c r="F28" s="25" t="s">
        <v>53</v>
      </c>
      <c r="G28" s="25" t="s">
        <v>10</v>
      </c>
      <c r="H28" s="25" t="s">
        <v>11</v>
      </c>
      <c r="I28" s="28">
        <v>1625.33</v>
      </c>
      <c r="J28" s="28">
        <v>82218.77</v>
      </c>
    </row>
    <row r="29" spans="2:10" ht="16">
      <c r="B29" s="25" t="s">
        <v>54</v>
      </c>
      <c r="C29" s="25" t="s">
        <v>6</v>
      </c>
      <c r="D29" s="25" t="s">
        <v>7</v>
      </c>
      <c r="E29" s="25" t="s">
        <v>8</v>
      </c>
      <c r="F29" s="25" t="s">
        <v>55</v>
      </c>
      <c r="G29" s="25" t="s">
        <v>10</v>
      </c>
      <c r="H29" s="25" t="s">
        <v>11</v>
      </c>
      <c r="I29" s="28">
        <v>4015.94</v>
      </c>
      <c r="J29" s="28">
        <v>86234.71</v>
      </c>
    </row>
    <row r="30" spans="2:10" ht="16">
      <c r="B30" s="25" t="s">
        <v>56</v>
      </c>
      <c r="C30" s="25" t="s">
        <v>6</v>
      </c>
      <c r="D30" s="25" t="s">
        <v>7</v>
      </c>
      <c r="E30" s="25" t="s">
        <v>8</v>
      </c>
      <c r="F30" s="25" t="s">
        <v>57</v>
      </c>
      <c r="G30" s="25" t="s">
        <v>10</v>
      </c>
      <c r="H30" s="25" t="s">
        <v>11</v>
      </c>
      <c r="I30" s="28">
        <v>8362.15</v>
      </c>
      <c r="J30" s="28">
        <v>94596.86</v>
      </c>
    </row>
    <row r="31" spans="2:10" ht="16">
      <c r="B31" s="25" t="s">
        <v>58</v>
      </c>
      <c r="C31" s="25" t="s">
        <v>6</v>
      </c>
      <c r="D31" s="25" t="s">
        <v>7</v>
      </c>
      <c r="E31" s="25" t="s">
        <v>16</v>
      </c>
      <c r="F31" s="25" t="s">
        <v>59</v>
      </c>
      <c r="G31" s="25" t="s">
        <v>10</v>
      </c>
      <c r="H31" s="25" t="s">
        <v>11</v>
      </c>
      <c r="I31" s="28">
        <v>1043.47</v>
      </c>
      <c r="J31" s="28">
        <v>95640.33</v>
      </c>
    </row>
    <row r="32" spans="2:10" ht="16">
      <c r="B32" s="25" t="s">
        <v>60</v>
      </c>
      <c r="C32" s="25" t="s">
        <v>6</v>
      </c>
      <c r="D32" s="25" t="s">
        <v>7</v>
      </c>
      <c r="E32" s="25" t="s">
        <v>8</v>
      </c>
      <c r="F32" s="25" t="s">
        <v>61</v>
      </c>
      <c r="G32" s="25" t="s">
        <v>10</v>
      </c>
      <c r="H32" s="25" t="s">
        <v>11</v>
      </c>
      <c r="I32" s="28">
        <v>8419.24</v>
      </c>
      <c r="J32" s="28">
        <v>104059.57</v>
      </c>
    </row>
    <row r="33" spans="2:10" ht="16">
      <c r="B33" s="25" t="s">
        <v>62</v>
      </c>
      <c r="C33" s="25" t="s">
        <v>6</v>
      </c>
      <c r="D33" s="25" t="s">
        <v>7</v>
      </c>
      <c r="E33" s="25" t="s">
        <v>8</v>
      </c>
      <c r="F33" s="25" t="s">
        <v>63</v>
      </c>
      <c r="G33" s="25" t="s">
        <v>10</v>
      </c>
      <c r="H33" s="25" t="s">
        <v>11</v>
      </c>
      <c r="I33" s="28">
        <v>7522.09</v>
      </c>
      <c r="J33" s="28">
        <v>111581.66</v>
      </c>
    </row>
    <row r="34" spans="2:10" ht="16">
      <c r="B34" s="25" t="s">
        <v>64</v>
      </c>
      <c r="C34" s="25" t="s">
        <v>6</v>
      </c>
      <c r="D34" s="25" t="s">
        <v>7</v>
      </c>
      <c r="E34" s="25" t="s">
        <v>16</v>
      </c>
      <c r="F34" s="25" t="s">
        <v>65</v>
      </c>
      <c r="G34" s="25" t="s">
        <v>10</v>
      </c>
      <c r="H34" s="25" t="s">
        <v>11</v>
      </c>
      <c r="I34" s="28">
        <v>628.75</v>
      </c>
      <c r="J34" s="28">
        <v>112210.41</v>
      </c>
    </row>
    <row r="35" spans="2:10" ht="16">
      <c r="B35" s="25" t="s">
        <v>66</v>
      </c>
      <c r="C35" s="25" t="s">
        <v>6</v>
      </c>
      <c r="D35" s="25" t="s">
        <v>7</v>
      </c>
      <c r="E35" s="25" t="s">
        <v>8</v>
      </c>
      <c r="F35" s="25" t="s">
        <v>67</v>
      </c>
      <c r="G35" s="25" t="s">
        <v>10</v>
      </c>
      <c r="H35" s="25" t="s">
        <v>11</v>
      </c>
      <c r="I35" s="28">
        <v>7409.97</v>
      </c>
      <c r="J35" s="28">
        <v>119620.38</v>
      </c>
    </row>
    <row r="36" spans="2:10" ht="16">
      <c r="B36" s="25" t="s">
        <v>68</v>
      </c>
      <c r="C36" s="25" t="s">
        <v>6</v>
      </c>
      <c r="D36" s="25" t="s">
        <v>7</v>
      </c>
      <c r="E36" s="25" t="s">
        <v>8</v>
      </c>
      <c r="F36" s="25" t="s">
        <v>69</v>
      </c>
      <c r="G36" s="25" t="s">
        <v>10</v>
      </c>
      <c r="H36" s="25" t="s">
        <v>11</v>
      </c>
      <c r="I36" s="28">
        <v>10899.99</v>
      </c>
      <c r="J36" s="28">
        <v>130520.37000000001</v>
      </c>
    </row>
    <row r="37" spans="2:10" ht="16">
      <c r="B37" s="25" t="s">
        <v>70</v>
      </c>
      <c r="C37" s="25" t="s">
        <v>6</v>
      </c>
      <c r="D37" s="25" t="s">
        <v>7</v>
      </c>
      <c r="E37" s="25" t="s">
        <v>8</v>
      </c>
      <c r="F37" s="25" t="s">
        <v>71</v>
      </c>
      <c r="G37" s="25" t="s">
        <v>10</v>
      </c>
      <c r="H37" s="25" t="s">
        <v>11</v>
      </c>
      <c r="I37" s="28">
        <v>15796.61</v>
      </c>
      <c r="J37" s="28">
        <v>146316.98</v>
      </c>
    </row>
    <row r="38" spans="2:10" ht="16">
      <c r="B38" s="25" t="s">
        <v>72</v>
      </c>
      <c r="C38" s="25" t="s">
        <v>6</v>
      </c>
      <c r="D38" s="25" t="s">
        <v>7</v>
      </c>
      <c r="E38" s="25" t="s">
        <v>8</v>
      </c>
      <c r="F38" s="25" t="s">
        <v>73</v>
      </c>
      <c r="G38" s="25" t="s">
        <v>10</v>
      </c>
      <c r="H38" s="25" t="s">
        <v>11</v>
      </c>
      <c r="I38" s="28">
        <v>16630.92</v>
      </c>
      <c r="J38" s="28">
        <v>162947.90000000002</v>
      </c>
    </row>
    <row r="39" spans="2:10" ht="16">
      <c r="B39" s="25" t="s">
        <v>74</v>
      </c>
      <c r="C39" s="25" t="s">
        <v>6</v>
      </c>
      <c r="D39" s="25" t="s">
        <v>7</v>
      </c>
      <c r="E39" s="25" t="s">
        <v>8</v>
      </c>
      <c r="F39" s="25" t="s">
        <v>75</v>
      </c>
      <c r="G39" s="25" t="s">
        <v>10</v>
      </c>
      <c r="H39" s="25" t="s">
        <v>11</v>
      </c>
      <c r="I39" s="28">
        <v>15973.22</v>
      </c>
      <c r="J39" s="28">
        <v>178921.12000000002</v>
      </c>
    </row>
    <row r="40" spans="2:10" ht="16">
      <c r="B40" s="25" t="s">
        <v>76</v>
      </c>
      <c r="C40" s="25" t="s">
        <v>6</v>
      </c>
      <c r="D40" s="25" t="s">
        <v>7</v>
      </c>
      <c r="E40" s="25" t="s">
        <v>8</v>
      </c>
      <c r="F40" s="25" t="s">
        <v>77</v>
      </c>
      <c r="G40" s="25" t="s">
        <v>10</v>
      </c>
      <c r="H40" s="25" t="s">
        <v>11</v>
      </c>
      <c r="I40" s="28">
        <v>16936.71</v>
      </c>
      <c r="J40" s="28">
        <v>195857.83000000002</v>
      </c>
    </row>
    <row r="41" spans="2:10" ht="16">
      <c r="B41" s="25" t="s">
        <v>78</v>
      </c>
      <c r="C41" s="25" t="s">
        <v>6</v>
      </c>
      <c r="D41" s="25" t="s">
        <v>7</v>
      </c>
      <c r="E41" s="25" t="s">
        <v>8</v>
      </c>
      <c r="F41" s="25" t="s">
        <v>79</v>
      </c>
      <c r="G41" s="25" t="s">
        <v>10</v>
      </c>
      <c r="H41" s="25" t="s">
        <v>11</v>
      </c>
      <c r="I41" s="28">
        <v>11017.53</v>
      </c>
      <c r="J41" s="28">
        <v>206875.36000000002</v>
      </c>
    </row>
    <row r="42" spans="2:10" ht="16">
      <c r="B42" s="25" t="s">
        <v>80</v>
      </c>
      <c r="C42" s="25" t="s">
        <v>6</v>
      </c>
      <c r="D42" s="25" t="s">
        <v>7</v>
      </c>
      <c r="E42" s="25" t="s">
        <v>8</v>
      </c>
      <c r="F42" s="25" t="s">
        <v>81</v>
      </c>
      <c r="G42" s="25" t="s">
        <v>10</v>
      </c>
      <c r="H42" s="25" t="s">
        <v>11</v>
      </c>
      <c r="I42" s="28">
        <v>12202.01</v>
      </c>
      <c r="J42" s="28">
        <v>219077.37000000002</v>
      </c>
    </row>
    <row r="43" spans="2:10" ht="16">
      <c r="B43" s="25" t="s">
        <v>82</v>
      </c>
      <c r="C43" s="25" t="s">
        <v>6</v>
      </c>
      <c r="D43" s="25" t="s">
        <v>7</v>
      </c>
      <c r="E43" s="25" t="s">
        <v>8</v>
      </c>
      <c r="F43" s="25" t="s">
        <v>83</v>
      </c>
      <c r="G43" s="25" t="s">
        <v>10</v>
      </c>
      <c r="H43" s="25" t="s">
        <v>11</v>
      </c>
      <c r="I43" s="28">
        <v>17952.54</v>
      </c>
      <c r="J43" s="28">
        <v>237029.91000000003</v>
      </c>
    </row>
    <row r="44" spans="2:10" ht="16">
      <c r="B44" s="25" t="s">
        <v>84</v>
      </c>
      <c r="C44" s="25" t="s">
        <v>6</v>
      </c>
      <c r="D44" s="25" t="s">
        <v>7</v>
      </c>
      <c r="E44" s="25" t="s">
        <v>8</v>
      </c>
      <c r="F44" s="25" t="s">
        <v>85</v>
      </c>
      <c r="G44" s="25" t="s">
        <v>10</v>
      </c>
      <c r="H44" s="25" t="s">
        <v>11</v>
      </c>
      <c r="I44" s="28">
        <v>16087.36</v>
      </c>
      <c r="J44" s="28">
        <v>253117.27000000002</v>
      </c>
    </row>
    <row r="45" spans="2:10" ht="16">
      <c r="B45" s="25" t="s">
        <v>86</v>
      </c>
      <c r="C45" s="25" t="s">
        <v>6</v>
      </c>
      <c r="D45" s="25" t="s">
        <v>7</v>
      </c>
      <c r="E45" s="25" t="s">
        <v>8</v>
      </c>
      <c r="F45" s="25" t="s">
        <v>87</v>
      </c>
      <c r="G45" s="25" t="s">
        <v>10</v>
      </c>
      <c r="H45" s="25" t="s">
        <v>11</v>
      </c>
      <c r="I45" s="28">
        <v>19356.01</v>
      </c>
      <c r="J45" s="28">
        <v>272473.28</v>
      </c>
    </row>
    <row r="46" spans="2:10" ht="16">
      <c r="B46" s="25" t="s">
        <v>88</v>
      </c>
      <c r="C46" s="25" t="s">
        <v>6</v>
      </c>
      <c r="D46" s="25" t="s">
        <v>7</v>
      </c>
      <c r="E46" s="25" t="s">
        <v>8</v>
      </c>
      <c r="F46" s="25" t="s">
        <v>89</v>
      </c>
      <c r="G46" s="25" t="s">
        <v>10</v>
      </c>
      <c r="H46" s="25" t="s">
        <v>11</v>
      </c>
      <c r="I46" s="28">
        <v>14574.02</v>
      </c>
      <c r="J46" s="28">
        <v>287047.30000000005</v>
      </c>
    </row>
    <row r="47" spans="2:10" ht="16">
      <c r="B47" s="25" t="s">
        <v>90</v>
      </c>
      <c r="C47" s="25" t="s">
        <v>6</v>
      </c>
      <c r="D47" s="25" t="s">
        <v>7</v>
      </c>
      <c r="E47" s="25" t="s">
        <v>8</v>
      </c>
      <c r="F47" s="25" t="s">
        <v>91</v>
      </c>
      <c r="G47" s="25" t="s">
        <v>10</v>
      </c>
      <c r="H47" s="25" t="s">
        <v>11</v>
      </c>
      <c r="I47" s="28">
        <v>15274.46</v>
      </c>
      <c r="J47" s="28">
        <v>302321.76000000007</v>
      </c>
    </row>
    <row r="48" spans="2:10" ht="16">
      <c r="B48" s="25" t="s">
        <v>92</v>
      </c>
      <c r="C48" s="25" t="s">
        <v>6</v>
      </c>
      <c r="D48" s="25" t="s">
        <v>7</v>
      </c>
      <c r="E48" s="25" t="s">
        <v>8</v>
      </c>
      <c r="F48" s="25" t="s">
        <v>93</v>
      </c>
      <c r="G48" s="25" t="s">
        <v>10</v>
      </c>
      <c r="H48" s="25" t="s">
        <v>11</v>
      </c>
      <c r="I48" s="28">
        <v>21767.41</v>
      </c>
      <c r="J48" s="28">
        <v>324089.17000000004</v>
      </c>
    </row>
    <row r="49" spans="2:10" ht="16">
      <c r="B49" s="25" t="s">
        <v>94</v>
      </c>
      <c r="C49" s="25" t="s">
        <v>6</v>
      </c>
      <c r="D49" s="25" t="s">
        <v>7</v>
      </c>
      <c r="E49" s="25" t="s">
        <v>8</v>
      </c>
      <c r="F49" s="25" t="s">
        <v>95</v>
      </c>
      <c r="G49" s="25" t="s">
        <v>10</v>
      </c>
      <c r="H49" s="25" t="s">
        <v>11</v>
      </c>
      <c r="I49" s="28">
        <v>12487.41</v>
      </c>
      <c r="J49" s="28">
        <v>336576.58</v>
      </c>
    </row>
    <row r="50" spans="2:10" ht="16">
      <c r="B50" s="25" t="s">
        <v>96</v>
      </c>
      <c r="C50" s="25" t="s">
        <v>6</v>
      </c>
      <c r="D50" s="25" t="s">
        <v>7</v>
      </c>
      <c r="E50" s="25" t="s">
        <v>8</v>
      </c>
      <c r="F50" s="25" t="s">
        <v>97</v>
      </c>
      <c r="G50" s="25" t="s">
        <v>10</v>
      </c>
      <c r="H50" s="25" t="s">
        <v>11</v>
      </c>
      <c r="I50" s="28">
        <v>20373.84</v>
      </c>
      <c r="J50" s="28">
        <v>356950.42000000004</v>
      </c>
    </row>
    <row r="51" spans="2:10" ht="16">
      <c r="B51" s="25" t="s">
        <v>98</v>
      </c>
      <c r="C51" s="25" t="s">
        <v>6</v>
      </c>
      <c r="D51" s="25" t="s">
        <v>7</v>
      </c>
      <c r="E51" s="25" t="s">
        <v>8</v>
      </c>
      <c r="F51" s="25" t="s">
        <v>99</v>
      </c>
      <c r="G51" s="25" t="s">
        <v>10</v>
      </c>
      <c r="H51" s="25" t="s">
        <v>11</v>
      </c>
      <c r="I51" s="28">
        <v>13512.48</v>
      </c>
      <c r="J51" s="28">
        <v>370462.9</v>
      </c>
    </row>
    <row r="52" spans="2:10" ht="16">
      <c r="B52" s="25" t="s">
        <v>100</v>
      </c>
      <c r="C52" s="25" t="s">
        <v>6</v>
      </c>
      <c r="D52" s="25" t="s">
        <v>7</v>
      </c>
      <c r="E52" s="25" t="s">
        <v>8</v>
      </c>
      <c r="F52" s="25" t="s">
        <v>101</v>
      </c>
      <c r="G52" s="25" t="s">
        <v>10</v>
      </c>
      <c r="H52" s="25" t="s">
        <v>11</v>
      </c>
      <c r="I52" s="28">
        <v>14706.46</v>
      </c>
      <c r="J52" s="28">
        <v>385169.36000000004</v>
      </c>
    </row>
    <row r="53" spans="2:10" ht="16">
      <c r="B53" s="25" t="s">
        <v>102</v>
      </c>
      <c r="C53" s="25" t="s">
        <v>6</v>
      </c>
      <c r="D53" s="25" t="s">
        <v>7</v>
      </c>
      <c r="E53" s="25" t="s">
        <v>8</v>
      </c>
      <c r="F53" s="25" t="s">
        <v>103</v>
      </c>
      <c r="G53" s="25" t="s">
        <v>10</v>
      </c>
      <c r="H53" s="25" t="s">
        <v>11</v>
      </c>
      <c r="I53" s="28">
        <v>12917.67</v>
      </c>
      <c r="J53" s="28">
        <v>398087.03</v>
      </c>
    </row>
    <row r="54" spans="2:10" ht="16">
      <c r="B54" s="25" t="s">
        <v>104</v>
      </c>
      <c r="C54" s="25" t="s">
        <v>6</v>
      </c>
      <c r="D54" s="25" t="s">
        <v>7</v>
      </c>
      <c r="E54" s="25" t="s">
        <v>8</v>
      </c>
      <c r="F54" s="25" t="s">
        <v>105</v>
      </c>
      <c r="G54" s="25" t="s">
        <v>10</v>
      </c>
      <c r="H54" s="25" t="s">
        <v>11</v>
      </c>
      <c r="I54" s="28">
        <v>18691.54</v>
      </c>
      <c r="J54" s="28">
        <v>416778.57</v>
      </c>
    </row>
    <row r="55" spans="2:10" ht="16">
      <c r="B55" s="25" t="s">
        <v>106</v>
      </c>
      <c r="C55" s="25" t="s">
        <v>6</v>
      </c>
      <c r="D55" s="25" t="s">
        <v>7</v>
      </c>
      <c r="E55" s="25" t="s">
        <v>8</v>
      </c>
      <c r="F55" s="25" t="s">
        <v>107</v>
      </c>
      <c r="G55" s="25" t="s">
        <v>10</v>
      </c>
      <c r="H55" s="25" t="s">
        <v>11</v>
      </c>
      <c r="I55" s="28">
        <v>14011.78</v>
      </c>
      <c r="J55" s="28">
        <v>430790.35000000003</v>
      </c>
    </row>
    <row r="56" spans="2:10" ht="16">
      <c r="B56" s="25" t="s">
        <v>108</v>
      </c>
      <c r="C56" s="25" t="s">
        <v>6</v>
      </c>
      <c r="D56" s="25" t="s">
        <v>7</v>
      </c>
      <c r="E56" s="25" t="s">
        <v>8</v>
      </c>
      <c r="F56" s="25" t="s">
        <v>109</v>
      </c>
      <c r="G56" s="25" t="s">
        <v>10</v>
      </c>
      <c r="H56" s="25" t="s">
        <v>11</v>
      </c>
      <c r="I56" s="28">
        <v>20353.35</v>
      </c>
      <c r="J56" s="28">
        <v>451143.7</v>
      </c>
    </row>
    <row r="57" spans="2:10" ht="16">
      <c r="B57" s="25" t="s">
        <v>110</v>
      </c>
      <c r="C57" s="25" t="s">
        <v>6</v>
      </c>
      <c r="D57" s="25" t="s">
        <v>7</v>
      </c>
      <c r="E57" s="25" t="s">
        <v>8</v>
      </c>
      <c r="F57" s="25" t="s">
        <v>111</v>
      </c>
      <c r="G57" s="25" t="s">
        <v>10</v>
      </c>
      <c r="H57" s="25" t="s">
        <v>11</v>
      </c>
      <c r="I57" s="28">
        <v>16800.11</v>
      </c>
      <c r="J57" s="28">
        <v>467943.81</v>
      </c>
    </row>
    <row r="58" spans="2:10" ht="16">
      <c r="B58" s="25" t="s">
        <v>112</v>
      </c>
      <c r="C58" s="25" t="s">
        <v>6</v>
      </c>
      <c r="D58" s="25" t="s">
        <v>7</v>
      </c>
      <c r="E58" s="25" t="s">
        <v>8</v>
      </c>
      <c r="F58" s="25" t="s">
        <v>113</v>
      </c>
      <c r="G58" s="25" t="s">
        <v>10</v>
      </c>
      <c r="H58" s="25" t="s">
        <v>11</v>
      </c>
      <c r="I58" s="28">
        <v>13930.81</v>
      </c>
      <c r="J58" s="28">
        <v>481874.62</v>
      </c>
    </row>
    <row r="59" spans="2:10" ht="16">
      <c r="B59" s="25" t="s">
        <v>114</v>
      </c>
      <c r="C59" s="25" t="s">
        <v>6</v>
      </c>
      <c r="D59" s="25" t="s">
        <v>7</v>
      </c>
      <c r="E59" s="25" t="s">
        <v>8</v>
      </c>
      <c r="F59" s="25" t="s">
        <v>115</v>
      </c>
      <c r="G59" s="25" t="s">
        <v>10</v>
      </c>
      <c r="H59" s="25" t="s">
        <v>11</v>
      </c>
      <c r="I59" s="28">
        <v>16710.61</v>
      </c>
      <c r="J59" s="28">
        <v>498585.23</v>
      </c>
    </row>
    <row r="60" spans="2:10" ht="16">
      <c r="B60" s="25" t="s">
        <v>116</v>
      </c>
      <c r="C60" s="25" t="s">
        <v>6</v>
      </c>
      <c r="D60" s="25" t="s">
        <v>7</v>
      </c>
      <c r="E60" s="25" t="s">
        <v>8</v>
      </c>
      <c r="F60" s="25" t="s">
        <v>117</v>
      </c>
      <c r="G60" s="25" t="s">
        <v>10</v>
      </c>
      <c r="H60" s="25" t="s">
        <v>11</v>
      </c>
      <c r="I60" s="28">
        <v>17061.1</v>
      </c>
      <c r="J60" s="28">
        <v>515646.32999999996</v>
      </c>
    </row>
    <row r="61" spans="2:10" ht="16">
      <c r="B61" s="25" t="s">
        <v>118</v>
      </c>
      <c r="C61" s="25" t="s">
        <v>6</v>
      </c>
      <c r="D61" s="25" t="s">
        <v>7</v>
      </c>
      <c r="E61" s="25" t="s">
        <v>8</v>
      </c>
      <c r="F61" s="25" t="s">
        <v>119</v>
      </c>
      <c r="G61" s="25" t="s">
        <v>10</v>
      </c>
      <c r="H61" s="25" t="s">
        <v>11</v>
      </c>
      <c r="I61" s="28">
        <v>12302.46</v>
      </c>
      <c r="J61" s="28">
        <v>527948.7899999999</v>
      </c>
    </row>
    <row r="62" spans="1:9" ht="16">
      <c r="A62" s="35" t="s">
        <v>120</v>
      </c>
      <c r="I62" s="29">
        <f>I7+I8+I9+I10+I11+I12+I13+I14+I15+I16+I17+I18+I19+I20+I21+I22+I23+I24+I25+I26+I27+I28+I29+I30+I31+I32+I33+I34+I35+I36+I37+I38+I39+I40+I41+I42+I43+I44+I45+I46+I47+I48+I49+I50+I51+I52+I53+I54+I55+I56+I57+I58+I59+I60+I61</f>
        <v>527948.7899999999</v>
      </c>
    </row>
    <row r="63" spans="1:1" ht="16">
      <c r="A63" s="34" t="s">
        <v>121</v>
      </c>
    </row>
    <row r="64" spans="2:10" ht="16">
      <c r="B64" s="25" t="s">
        <v>5</v>
      </c>
      <c r="C64" s="25" t="s">
        <v>122</v>
      </c>
      <c r="D64" s="25" t="s">
        <v>123</v>
      </c>
      <c r="E64" s="25" t="s">
        <v>7</v>
      </c>
      <c r="F64" s="25" t="s">
        <v>7</v>
      </c>
      <c r="G64" s="25" t="s">
        <v>124</v>
      </c>
      <c r="H64" s="25" t="s">
        <v>7</v>
      </c>
      <c r="I64" s="28">
        <v>6375.0</v>
      </c>
      <c r="J64" s="28">
        <v>6375.0</v>
      </c>
    </row>
    <row r="65" spans="2:10" ht="16">
      <c r="B65" s="25" t="s">
        <v>18</v>
      </c>
      <c r="C65" s="25" t="s">
        <v>122</v>
      </c>
      <c r="D65" s="25" t="s">
        <v>125</v>
      </c>
      <c r="E65" s="25" t="s">
        <v>7</v>
      </c>
      <c r="F65" s="25" t="s">
        <v>7</v>
      </c>
      <c r="G65" s="25" t="s">
        <v>124</v>
      </c>
      <c r="H65" s="25" t="s">
        <v>7</v>
      </c>
      <c r="I65" s="28">
        <v>6375.0</v>
      </c>
      <c r="J65" s="28">
        <v>12750.0</v>
      </c>
    </row>
    <row r="66" spans="2:10" ht="16">
      <c r="B66" s="25" t="s">
        <v>24</v>
      </c>
      <c r="C66" s="25" t="s">
        <v>122</v>
      </c>
      <c r="D66" s="25" t="s">
        <v>126</v>
      </c>
      <c r="E66" s="25" t="s">
        <v>7</v>
      </c>
      <c r="F66" s="25" t="s">
        <v>7</v>
      </c>
      <c r="G66" s="25" t="s">
        <v>124</v>
      </c>
      <c r="H66" s="25" t="s">
        <v>7</v>
      </c>
      <c r="I66" s="28">
        <v>6375.0</v>
      </c>
      <c r="J66" s="28">
        <v>19125.0</v>
      </c>
    </row>
    <row r="67" spans="2:10" ht="16">
      <c r="B67" s="25" t="s">
        <v>30</v>
      </c>
      <c r="C67" s="25" t="s">
        <v>122</v>
      </c>
      <c r="D67" s="25" t="s">
        <v>127</v>
      </c>
      <c r="E67" s="25" t="s">
        <v>7</v>
      </c>
      <c r="F67" s="25" t="s">
        <v>7</v>
      </c>
      <c r="G67" s="25" t="s">
        <v>124</v>
      </c>
      <c r="H67" s="25" t="s">
        <v>7</v>
      </c>
      <c r="I67" s="28">
        <v>6375.0</v>
      </c>
      <c r="J67" s="28">
        <v>25500.0</v>
      </c>
    </row>
    <row r="68" spans="2:10" ht="16">
      <c r="B68" s="25" t="s">
        <v>40</v>
      </c>
      <c r="C68" s="25" t="s">
        <v>122</v>
      </c>
      <c r="D68" s="25" t="s">
        <v>128</v>
      </c>
      <c r="E68" s="25" t="s">
        <v>7</v>
      </c>
      <c r="F68" s="25" t="s">
        <v>7</v>
      </c>
      <c r="G68" s="25" t="s">
        <v>124</v>
      </c>
      <c r="H68" s="25" t="s">
        <v>7</v>
      </c>
      <c r="I68" s="28">
        <v>6375.0</v>
      </c>
      <c r="J68" s="28">
        <v>31875.0</v>
      </c>
    </row>
    <row r="69" spans="2:10" ht="16">
      <c r="B69" s="25" t="s">
        <v>46</v>
      </c>
      <c r="C69" s="25" t="s">
        <v>122</v>
      </c>
      <c r="D69" s="25" t="s">
        <v>129</v>
      </c>
      <c r="E69" s="25" t="s">
        <v>7</v>
      </c>
      <c r="F69" s="25" t="s">
        <v>7</v>
      </c>
      <c r="G69" s="25" t="s">
        <v>124</v>
      </c>
      <c r="H69" s="25" t="s">
        <v>7</v>
      </c>
      <c r="I69" s="28">
        <v>6375.0</v>
      </c>
      <c r="J69" s="28">
        <v>38250.0</v>
      </c>
    </row>
    <row r="70" spans="2:10" ht="16">
      <c r="B70" s="25" t="s">
        <v>52</v>
      </c>
      <c r="C70" s="25" t="s">
        <v>122</v>
      </c>
      <c r="D70" s="25" t="s">
        <v>130</v>
      </c>
      <c r="E70" s="25" t="s">
        <v>7</v>
      </c>
      <c r="F70" s="25" t="s">
        <v>7</v>
      </c>
      <c r="G70" s="25" t="s">
        <v>124</v>
      </c>
      <c r="H70" s="25" t="s">
        <v>7</v>
      </c>
      <c r="I70" s="28">
        <v>6375.0</v>
      </c>
      <c r="J70" s="28">
        <v>44625.0</v>
      </c>
    </row>
    <row r="71" spans="2:10" ht="16">
      <c r="B71" s="25" t="s">
        <v>58</v>
      </c>
      <c r="C71" s="25" t="s">
        <v>122</v>
      </c>
      <c r="D71" s="25" t="s">
        <v>131</v>
      </c>
      <c r="E71" s="25" t="s">
        <v>7</v>
      </c>
      <c r="F71" s="25" t="s">
        <v>7</v>
      </c>
      <c r="G71" s="25" t="s">
        <v>124</v>
      </c>
      <c r="H71" s="25" t="s">
        <v>7</v>
      </c>
      <c r="I71" s="28">
        <v>6375.0</v>
      </c>
      <c r="J71" s="28">
        <v>51000.0</v>
      </c>
    </row>
    <row r="72" spans="2:10" ht="16">
      <c r="B72" s="25" t="s">
        <v>66</v>
      </c>
      <c r="C72" s="25" t="s">
        <v>122</v>
      </c>
      <c r="D72" s="25" t="s">
        <v>132</v>
      </c>
      <c r="E72" s="25" t="s">
        <v>7</v>
      </c>
      <c r="F72" s="25" t="s">
        <v>7</v>
      </c>
      <c r="G72" s="25" t="s">
        <v>124</v>
      </c>
      <c r="H72" s="25" t="s">
        <v>7</v>
      </c>
      <c r="I72" s="28">
        <v>6375.0</v>
      </c>
      <c r="J72" s="28">
        <v>57375.0</v>
      </c>
    </row>
    <row r="73" spans="2:10" ht="16">
      <c r="B73" s="25" t="s">
        <v>133</v>
      </c>
      <c r="C73" s="25" t="s">
        <v>6</v>
      </c>
      <c r="D73" s="25" t="s">
        <v>7</v>
      </c>
      <c r="E73" s="25" t="s">
        <v>134</v>
      </c>
      <c r="F73" s="25" t="s">
        <v>135</v>
      </c>
      <c r="G73" s="25" t="s">
        <v>124</v>
      </c>
      <c r="H73" s="25" t="s">
        <v>11</v>
      </c>
      <c r="I73" s="28">
        <v>467.44</v>
      </c>
      <c r="J73" s="28">
        <v>57842.44</v>
      </c>
    </row>
    <row r="74" spans="2:10" ht="16">
      <c r="B74" s="25" t="s">
        <v>70</v>
      </c>
      <c r="C74" s="25" t="s">
        <v>122</v>
      </c>
      <c r="D74" s="25" t="s">
        <v>136</v>
      </c>
      <c r="E74" s="25" t="s">
        <v>7</v>
      </c>
      <c r="F74" s="25" t="s">
        <v>7</v>
      </c>
      <c r="G74" s="25" t="s">
        <v>124</v>
      </c>
      <c r="H74" s="25" t="s">
        <v>7</v>
      </c>
      <c r="I74" s="28">
        <v>6375.0</v>
      </c>
      <c r="J74" s="28">
        <v>64217.44</v>
      </c>
    </row>
    <row r="75" spans="2:10" ht="16">
      <c r="B75" s="25" t="s">
        <v>74</v>
      </c>
      <c r="C75" s="25" t="s">
        <v>122</v>
      </c>
      <c r="D75" s="25" t="s">
        <v>137</v>
      </c>
      <c r="E75" s="25" t="s">
        <v>7</v>
      </c>
      <c r="F75" s="25" t="s">
        <v>7</v>
      </c>
      <c r="G75" s="25" t="s">
        <v>124</v>
      </c>
      <c r="H75" s="25" t="s">
        <v>7</v>
      </c>
      <c r="I75" s="28">
        <v>6375.0</v>
      </c>
      <c r="J75" s="28">
        <v>70592.44</v>
      </c>
    </row>
    <row r="76" spans="2:10" ht="16">
      <c r="B76" s="25" t="s">
        <v>78</v>
      </c>
      <c r="C76" s="25" t="s">
        <v>122</v>
      </c>
      <c r="D76" s="25" t="s">
        <v>138</v>
      </c>
      <c r="E76" s="25" t="s">
        <v>7</v>
      </c>
      <c r="F76" s="25" t="s">
        <v>7</v>
      </c>
      <c r="G76" s="25" t="s">
        <v>124</v>
      </c>
      <c r="H76" s="25" t="s">
        <v>7</v>
      </c>
      <c r="I76" s="28">
        <v>6375.0</v>
      </c>
      <c r="J76" s="28">
        <v>76967.44</v>
      </c>
    </row>
    <row r="77" spans="2:10" ht="16">
      <c r="B77" s="25" t="s">
        <v>80</v>
      </c>
      <c r="C77" s="25" t="s">
        <v>6</v>
      </c>
      <c r="D77" s="25" t="s">
        <v>7</v>
      </c>
      <c r="E77" s="25" t="s">
        <v>134</v>
      </c>
      <c r="F77" s="25" t="s">
        <v>139</v>
      </c>
      <c r="G77" s="25" t="s">
        <v>124</v>
      </c>
      <c r="H77" s="25" t="s">
        <v>11</v>
      </c>
      <c r="I77" s="28">
        <v>7236.0</v>
      </c>
      <c r="J77" s="28">
        <v>84203.44</v>
      </c>
    </row>
    <row r="78" spans="2:10" ht="16">
      <c r="B78" s="25" t="s">
        <v>86</v>
      </c>
      <c r="C78" s="25" t="s">
        <v>6</v>
      </c>
      <c r="D78" s="25" t="s">
        <v>7</v>
      </c>
      <c r="E78" s="25" t="s">
        <v>140</v>
      </c>
      <c r="F78" s="25" t="s">
        <v>141</v>
      </c>
      <c r="G78" s="25" t="s">
        <v>124</v>
      </c>
      <c r="H78" s="25" t="s">
        <v>142</v>
      </c>
      <c r="I78" s="28">
        <v>18641.8</v>
      </c>
      <c r="J78" s="28">
        <v>102845.24</v>
      </c>
    </row>
    <row r="79" spans="2:10" ht="16">
      <c r="B79" s="25" t="s">
        <v>143</v>
      </c>
      <c r="C79" s="25" t="s">
        <v>6</v>
      </c>
      <c r="D79" s="25" t="s">
        <v>7</v>
      </c>
      <c r="E79" s="25" t="s">
        <v>134</v>
      </c>
      <c r="F79" s="25" t="s">
        <v>144</v>
      </c>
      <c r="G79" s="25" t="s">
        <v>124</v>
      </c>
      <c r="H79" s="25" t="s">
        <v>142</v>
      </c>
      <c r="I79" s="28">
        <v>2291.04</v>
      </c>
      <c r="J79" s="28">
        <v>105136.28</v>
      </c>
    </row>
    <row r="80" spans="2:10" ht="16">
      <c r="B80" s="25" t="s">
        <v>145</v>
      </c>
      <c r="C80" s="25" t="s">
        <v>6</v>
      </c>
      <c r="D80" s="25" t="s">
        <v>7</v>
      </c>
      <c r="E80" s="25" t="s">
        <v>140</v>
      </c>
      <c r="F80" s="25" t="s">
        <v>146</v>
      </c>
      <c r="G80" s="25" t="s">
        <v>124</v>
      </c>
      <c r="H80" s="25" t="s">
        <v>142</v>
      </c>
      <c r="I80" s="28">
        <v>19054.42</v>
      </c>
      <c r="J80" s="28">
        <v>124190.7</v>
      </c>
    </row>
    <row r="81" spans="2:10" ht="16">
      <c r="B81" s="25" t="s">
        <v>102</v>
      </c>
      <c r="C81" s="25" t="s">
        <v>6</v>
      </c>
      <c r="D81" s="25" t="s">
        <v>7</v>
      </c>
      <c r="E81" s="25" t="s">
        <v>134</v>
      </c>
      <c r="F81" s="25" t="s">
        <v>147</v>
      </c>
      <c r="G81" s="25" t="s">
        <v>124</v>
      </c>
      <c r="H81" s="25" t="s">
        <v>142</v>
      </c>
      <c r="I81" s="28">
        <v>4433.75</v>
      </c>
      <c r="J81" s="28">
        <v>128624.45</v>
      </c>
    </row>
    <row r="82" spans="2:10" ht="16">
      <c r="B82" s="25" t="s">
        <v>148</v>
      </c>
      <c r="C82" s="25" t="s">
        <v>6</v>
      </c>
      <c r="D82" s="25" t="s">
        <v>7</v>
      </c>
      <c r="E82" s="25" t="s">
        <v>140</v>
      </c>
      <c r="F82" s="25" t="s">
        <v>149</v>
      </c>
      <c r="G82" s="25" t="s">
        <v>124</v>
      </c>
      <c r="H82" s="25" t="s">
        <v>150</v>
      </c>
      <c r="I82" s="28">
        <v>19054.42</v>
      </c>
      <c r="J82" s="28">
        <v>147678.87</v>
      </c>
    </row>
    <row r="83" spans="2:10" ht="16">
      <c r="B83" s="25" t="s">
        <v>151</v>
      </c>
      <c r="C83" s="25" t="s">
        <v>6</v>
      </c>
      <c r="D83" s="25" t="s">
        <v>7</v>
      </c>
      <c r="E83" s="25" t="s">
        <v>134</v>
      </c>
      <c r="F83" s="25" t="s">
        <v>152</v>
      </c>
      <c r="G83" s="25" t="s">
        <v>124</v>
      </c>
      <c r="H83" s="25" t="s">
        <v>11</v>
      </c>
      <c r="I83" s="28">
        <v>920.29</v>
      </c>
      <c r="J83" s="28">
        <v>148599.16</v>
      </c>
    </row>
    <row r="84" spans="1:9" ht="16">
      <c r="A84" s="35" t="s">
        <v>153</v>
      </c>
      <c r="I84" s="29">
        <f>I63+I64+I65+I66+I67+I68+I69+I70+I71+I72+I73+I74+I75+I76+I77+I78+I79+I80+I81+I82+I83</f>
        <v>148599.16</v>
      </c>
    </row>
    <row r="85" spans="1:1" ht="16">
      <c r="A85" s="34" t="s">
        <v>154</v>
      </c>
    </row>
    <row r="86" spans="2:10" ht="16">
      <c r="B86" s="25" t="s">
        <v>18</v>
      </c>
      <c r="C86" s="25" t="s">
        <v>6</v>
      </c>
      <c r="D86" s="25" t="s">
        <v>7</v>
      </c>
      <c r="E86" s="25" t="s">
        <v>155</v>
      </c>
      <c r="F86" s="25" t="s">
        <v>156</v>
      </c>
      <c r="G86" s="25" t="s">
        <v>157</v>
      </c>
      <c r="H86" s="25" t="s">
        <v>158</v>
      </c>
      <c r="I86" s="28">
        <v>3100.0</v>
      </c>
      <c r="J86" s="28">
        <v>3100.0</v>
      </c>
    </row>
    <row r="87" spans="2:10" ht="16">
      <c r="B87" s="25" t="s">
        <v>22</v>
      </c>
      <c r="C87" s="25" t="s">
        <v>6</v>
      </c>
      <c r="D87" s="25" t="s">
        <v>7</v>
      </c>
      <c r="E87" s="25" t="s">
        <v>159</v>
      </c>
      <c r="F87" s="25" t="s">
        <v>160</v>
      </c>
      <c r="G87" s="25" t="s">
        <v>157</v>
      </c>
      <c r="H87" s="25" t="s">
        <v>11</v>
      </c>
      <c r="I87" s="28">
        <v>270.94</v>
      </c>
      <c r="J87" s="28">
        <v>3370.94</v>
      </c>
    </row>
    <row r="88" spans="2:10" ht="16">
      <c r="B88" s="25" t="s">
        <v>24</v>
      </c>
      <c r="C88" s="25" t="s">
        <v>6</v>
      </c>
      <c r="D88" s="25" t="s">
        <v>7</v>
      </c>
      <c r="E88" s="25" t="s">
        <v>159</v>
      </c>
      <c r="F88" s="25" t="s">
        <v>161</v>
      </c>
      <c r="G88" s="25" t="s">
        <v>157</v>
      </c>
      <c r="H88" s="25" t="s">
        <v>11</v>
      </c>
      <c r="I88" s="28">
        <v>97.54</v>
      </c>
      <c r="J88" s="28">
        <v>3468.48</v>
      </c>
    </row>
    <row r="89" spans="2:10" ht="16">
      <c r="B89" s="25" t="s">
        <v>162</v>
      </c>
      <c r="C89" s="25" t="s">
        <v>6</v>
      </c>
      <c r="D89" s="25" t="s">
        <v>7</v>
      </c>
      <c r="E89" s="25" t="s">
        <v>155</v>
      </c>
      <c r="F89" s="25" t="s">
        <v>163</v>
      </c>
      <c r="G89" s="25" t="s">
        <v>157</v>
      </c>
      <c r="H89" s="25" t="s">
        <v>158</v>
      </c>
      <c r="I89" s="28">
        <v>3100.0</v>
      </c>
      <c r="J89" s="28">
        <v>6568.48</v>
      </c>
    </row>
    <row r="90" spans="2:10" ht="16">
      <c r="B90" s="25" t="s">
        <v>162</v>
      </c>
      <c r="C90" s="25" t="s">
        <v>6</v>
      </c>
      <c r="D90" s="25" t="s">
        <v>7</v>
      </c>
      <c r="E90" s="25" t="s">
        <v>164</v>
      </c>
      <c r="F90" s="25" t="s">
        <v>165</v>
      </c>
      <c r="G90" s="25" t="s">
        <v>157</v>
      </c>
      <c r="H90" s="25" t="s">
        <v>11</v>
      </c>
      <c r="I90" s="28">
        <v>105.95</v>
      </c>
      <c r="J90" s="28">
        <v>6674.429999999999</v>
      </c>
    </row>
    <row r="91" spans="2:10" ht="16">
      <c r="B91" s="25" t="s">
        <v>166</v>
      </c>
      <c r="C91" s="25" t="s">
        <v>6</v>
      </c>
      <c r="D91" s="25" t="s">
        <v>7</v>
      </c>
      <c r="E91" s="25" t="s">
        <v>159</v>
      </c>
      <c r="F91" s="25" t="s">
        <v>167</v>
      </c>
      <c r="G91" s="25" t="s">
        <v>157</v>
      </c>
      <c r="H91" s="25" t="s">
        <v>11</v>
      </c>
      <c r="I91" s="28">
        <v>270.94</v>
      </c>
      <c r="J91" s="28">
        <v>6945.369999999999</v>
      </c>
    </row>
    <row r="92" spans="2:10" ht="16">
      <c r="B92" s="25" t="s">
        <v>50</v>
      </c>
      <c r="C92" s="25" t="s">
        <v>6</v>
      </c>
      <c r="D92" s="25" t="s">
        <v>7</v>
      </c>
      <c r="E92" s="25" t="s">
        <v>159</v>
      </c>
      <c r="F92" s="25" t="s">
        <v>168</v>
      </c>
      <c r="G92" s="25" t="s">
        <v>157</v>
      </c>
      <c r="H92" s="25" t="s">
        <v>11</v>
      </c>
      <c r="I92" s="28">
        <v>97.54</v>
      </c>
      <c r="J92" s="28">
        <v>7042.909999999999</v>
      </c>
    </row>
    <row r="93" spans="2:10" ht="16">
      <c r="B93" s="25" t="s">
        <v>169</v>
      </c>
      <c r="C93" s="25" t="s">
        <v>6</v>
      </c>
      <c r="D93" s="25" t="s">
        <v>7</v>
      </c>
      <c r="E93" s="25" t="s">
        <v>155</v>
      </c>
      <c r="F93" s="25" t="s">
        <v>170</v>
      </c>
      <c r="G93" s="25" t="s">
        <v>157</v>
      </c>
      <c r="H93" s="25" t="s">
        <v>158</v>
      </c>
      <c r="I93" s="28">
        <v>3100.0</v>
      </c>
      <c r="J93" s="28">
        <v>10142.91</v>
      </c>
    </row>
    <row r="94" spans="2:10" ht="16">
      <c r="B94" s="25" t="s">
        <v>171</v>
      </c>
      <c r="C94" s="25" t="s">
        <v>6</v>
      </c>
      <c r="D94" s="25" t="s">
        <v>7</v>
      </c>
      <c r="E94" s="25" t="s">
        <v>159</v>
      </c>
      <c r="F94" s="25" t="s">
        <v>172</v>
      </c>
      <c r="G94" s="25" t="s">
        <v>157</v>
      </c>
      <c r="H94" s="25" t="s">
        <v>11</v>
      </c>
      <c r="I94" s="28">
        <v>270.94</v>
      </c>
      <c r="J94" s="28">
        <v>10413.85</v>
      </c>
    </row>
    <row r="95" spans="2:10" ht="16">
      <c r="B95" s="25" t="s">
        <v>80</v>
      </c>
      <c r="C95" s="25" t="s">
        <v>6</v>
      </c>
      <c r="D95" s="25" t="s">
        <v>7</v>
      </c>
      <c r="E95" s="25" t="s">
        <v>173</v>
      </c>
      <c r="F95" s="25" t="s">
        <v>174</v>
      </c>
      <c r="G95" s="25" t="s">
        <v>157</v>
      </c>
      <c r="H95" s="25" t="s">
        <v>11</v>
      </c>
      <c r="I95" s="28">
        <v>203.5</v>
      </c>
      <c r="J95" s="28">
        <v>10617.35</v>
      </c>
    </row>
    <row r="96" spans="2:10" ht="16">
      <c r="B96" s="25" t="s">
        <v>80</v>
      </c>
      <c r="C96" s="25" t="s">
        <v>6</v>
      </c>
      <c r="D96" s="25" t="s">
        <v>7</v>
      </c>
      <c r="E96" s="25" t="s">
        <v>175</v>
      </c>
      <c r="F96" s="25" t="s">
        <v>176</v>
      </c>
      <c r="G96" s="25" t="s">
        <v>157</v>
      </c>
      <c r="H96" s="25" t="s">
        <v>11</v>
      </c>
      <c r="I96" s="28">
        <v>105.0</v>
      </c>
      <c r="J96" s="28">
        <v>10722.35</v>
      </c>
    </row>
    <row r="97" spans="2:10" ht="16">
      <c r="B97" s="25" t="s">
        <v>177</v>
      </c>
      <c r="C97" s="25" t="s">
        <v>6</v>
      </c>
      <c r="D97" s="25" t="s">
        <v>7</v>
      </c>
      <c r="E97" s="25" t="s">
        <v>155</v>
      </c>
      <c r="F97" s="25" t="s">
        <v>178</v>
      </c>
      <c r="G97" s="25" t="s">
        <v>157</v>
      </c>
      <c r="H97" s="25" t="s">
        <v>158</v>
      </c>
      <c r="I97" s="28">
        <v>3100.0</v>
      </c>
      <c r="J97" s="28">
        <v>13822.35</v>
      </c>
    </row>
    <row r="98" spans="2:10" ht="16">
      <c r="B98" s="25" t="s">
        <v>88</v>
      </c>
      <c r="C98" s="25" t="s">
        <v>6</v>
      </c>
      <c r="D98" s="25" t="s">
        <v>7</v>
      </c>
      <c r="E98" s="25" t="s">
        <v>155</v>
      </c>
      <c r="F98" s="25" t="s">
        <v>179</v>
      </c>
      <c r="G98" s="25" t="s">
        <v>157</v>
      </c>
      <c r="H98" s="25" t="s">
        <v>11</v>
      </c>
      <c r="I98" s="28">
        <v>58.61</v>
      </c>
      <c r="J98" s="28">
        <v>13880.960000000001</v>
      </c>
    </row>
    <row r="99" spans="2:10" ht="16">
      <c r="B99" s="25" t="s">
        <v>88</v>
      </c>
      <c r="C99" s="25" t="s">
        <v>6</v>
      </c>
      <c r="D99" s="25" t="s">
        <v>7</v>
      </c>
      <c r="E99" s="25" t="s">
        <v>159</v>
      </c>
      <c r="F99" s="25" t="s">
        <v>180</v>
      </c>
      <c r="G99" s="25" t="s">
        <v>157</v>
      </c>
      <c r="H99" s="25" t="s">
        <v>11</v>
      </c>
      <c r="I99" s="28">
        <v>270.94</v>
      </c>
      <c r="J99" s="28">
        <v>14151.900000000001</v>
      </c>
    </row>
    <row r="100" spans="2:10" ht="16">
      <c r="B100" s="25" t="s">
        <v>181</v>
      </c>
      <c r="C100" s="25" t="s">
        <v>6</v>
      </c>
      <c r="D100" s="25" t="s">
        <v>7</v>
      </c>
      <c r="E100" s="25" t="s">
        <v>155</v>
      </c>
      <c r="F100" s="25" t="s">
        <v>182</v>
      </c>
      <c r="G100" s="25" t="s">
        <v>157</v>
      </c>
      <c r="H100" s="25" t="s">
        <v>11</v>
      </c>
      <c r="I100" s="28">
        <v>775.0</v>
      </c>
      <c r="J100" s="28">
        <v>14926.900000000001</v>
      </c>
    </row>
    <row r="101" spans="2:10" ht="16">
      <c r="B101" s="25" t="s">
        <v>143</v>
      </c>
      <c r="C101" s="25" t="s">
        <v>6</v>
      </c>
      <c r="D101" s="25" t="s">
        <v>7</v>
      </c>
      <c r="E101" s="25" t="s">
        <v>155</v>
      </c>
      <c r="F101" s="25" t="s">
        <v>183</v>
      </c>
      <c r="G101" s="25" t="s">
        <v>157</v>
      </c>
      <c r="H101" s="25" t="s">
        <v>11</v>
      </c>
      <c r="I101" s="28">
        <v>775.0</v>
      </c>
      <c r="J101" s="28">
        <v>15701.900000000001</v>
      </c>
    </row>
    <row r="102" spans="2:10" ht="16">
      <c r="B102" s="25" t="s">
        <v>94</v>
      </c>
      <c r="C102" s="25" t="s">
        <v>6</v>
      </c>
      <c r="D102" s="25" t="s">
        <v>7</v>
      </c>
      <c r="E102" s="25" t="s">
        <v>184</v>
      </c>
      <c r="F102" s="25" t="s">
        <v>185</v>
      </c>
      <c r="G102" s="25" t="s">
        <v>157</v>
      </c>
      <c r="H102" s="25" t="s">
        <v>11</v>
      </c>
      <c r="I102" s="28">
        <v>216.78</v>
      </c>
      <c r="J102" s="28">
        <v>15918.680000000002</v>
      </c>
    </row>
    <row r="103" spans="2:10" ht="16">
      <c r="B103" s="25" t="s">
        <v>96</v>
      </c>
      <c r="C103" s="25" t="s">
        <v>6</v>
      </c>
      <c r="D103" s="25" t="s">
        <v>7</v>
      </c>
      <c r="E103" s="25" t="s">
        <v>186</v>
      </c>
      <c r="F103" s="25" t="s">
        <v>187</v>
      </c>
      <c r="G103" s="25" t="s">
        <v>157</v>
      </c>
      <c r="H103" s="25" t="s">
        <v>11</v>
      </c>
      <c r="I103" s="28">
        <v>10000.0</v>
      </c>
      <c r="J103" s="28">
        <v>25918.68</v>
      </c>
    </row>
    <row r="104" spans="2:10" ht="16">
      <c r="B104" s="25" t="s">
        <v>188</v>
      </c>
      <c r="C104" s="25" t="s">
        <v>6</v>
      </c>
      <c r="D104" s="25" t="s">
        <v>7</v>
      </c>
      <c r="E104" s="25" t="s">
        <v>155</v>
      </c>
      <c r="F104" s="25" t="s">
        <v>189</v>
      </c>
      <c r="G104" s="25" t="s">
        <v>157</v>
      </c>
      <c r="H104" s="25" t="s">
        <v>11</v>
      </c>
      <c r="I104" s="28">
        <v>775.0</v>
      </c>
      <c r="J104" s="28">
        <v>26693.68</v>
      </c>
    </row>
    <row r="105" spans="2:10" ht="16">
      <c r="B105" s="25" t="s">
        <v>190</v>
      </c>
      <c r="C105" s="25" t="s">
        <v>6</v>
      </c>
      <c r="D105" s="25" t="s">
        <v>7</v>
      </c>
      <c r="E105" s="25" t="s">
        <v>155</v>
      </c>
      <c r="F105" s="25" t="s">
        <v>191</v>
      </c>
      <c r="G105" s="25" t="s">
        <v>157</v>
      </c>
      <c r="H105" s="25" t="s">
        <v>11</v>
      </c>
      <c r="I105" s="28">
        <v>775.0</v>
      </c>
      <c r="J105" s="28">
        <v>27468.68</v>
      </c>
    </row>
    <row r="106" spans="2:10" ht="16">
      <c r="B106" s="25" t="s">
        <v>145</v>
      </c>
      <c r="C106" s="25" t="s">
        <v>6</v>
      </c>
      <c r="D106" s="25" t="s">
        <v>7</v>
      </c>
      <c r="E106" s="25" t="s">
        <v>155</v>
      </c>
      <c r="F106" s="25" t="s">
        <v>192</v>
      </c>
      <c r="G106" s="25" t="s">
        <v>157</v>
      </c>
      <c r="H106" s="25" t="s">
        <v>158</v>
      </c>
      <c r="I106" s="28">
        <v>3100.0</v>
      </c>
      <c r="J106" s="28">
        <v>30568.68</v>
      </c>
    </row>
    <row r="107" spans="2:10" ht="16">
      <c r="B107" s="25" t="s">
        <v>193</v>
      </c>
      <c r="C107" s="25" t="s">
        <v>6</v>
      </c>
      <c r="D107" s="25" t="s">
        <v>7</v>
      </c>
      <c r="E107" s="25" t="s">
        <v>159</v>
      </c>
      <c r="F107" s="25" t="s">
        <v>194</v>
      </c>
      <c r="G107" s="25" t="s">
        <v>157</v>
      </c>
      <c r="H107" s="25" t="s">
        <v>11</v>
      </c>
      <c r="I107" s="28">
        <v>270.94</v>
      </c>
      <c r="J107" s="28">
        <v>30839.62</v>
      </c>
    </row>
    <row r="108" spans="2:10" ht="16">
      <c r="B108" s="25" t="s">
        <v>148</v>
      </c>
      <c r="C108" s="25" t="s">
        <v>6</v>
      </c>
      <c r="D108" s="25" t="s">
        <v>7</v>
      </c>
      <c r="E108" s="25" t="s">
        <v>186</v>
      </c>
      <c r="F108" s="25" t="s">
        <v>195</v>
      </c>
      <c r="G108" s="25" t="s">
        <v>157</v>
      </c>
      <c r="H108" s="25" t="s">
        <v>11</v>
      </c>
      <c r="I108" s="28">
        <v>8550.0</v>
      </c>
      <c r="J108" s="28">
        <v>39389.619999999995</v>
      </c>
    </row>
    <row r="109" spans="2:10" ht="16">
      <c r="B109" s="25" t="s">
        <v>116</v>
      </c>
      <c r="C109" s="25" t="s">
        <v>6</v>
      </c>
      <c r="D109" s="25" t="s">
        <v>7</v>
      </c>
      <c r="E109" s="25" t="s">
        <v>173</v>
      </c>
      <c r="F109" s="25" t="s">
        <v>196</v>
      </c>
      <c r="G109" s="25" t="s">
        <v>157</v>
      </c>
      <c r="H109" s="25" t="s">
        <v>11</v>
      </c>
      <c r="I109" s="28">
        <v>253.5</v>
      </c>
      <c r="J109" s="28">
        <v>39643.119999999995</v>
      </c>
    </row>
    <row r="110" spans="2:10" ht="16">
      <c r="B110" s="25" t="s">
        <v>118</v>
      </c>
      <c r="C110" s="25" t="s">
        <v>6</v>
      </c>
      <c r="D110" s="25" t="s">
        <v>7</v>
      </c>
      <c r="E110" s="25" t="s">
        <v>155</v>
      </c>
      <c r="F110" s="25" t="s">
        <v>197</v>
      </c>
      <c r="G110" s="25" t="s">
        <v>157</v>
      </c>
      <c r="H110" s="25" t="s">
        <v>158</v>
      </c>
      <c r="I110" s="28">
        <v>3100.0</v>
      </c>
      <c r="J110" s="28">
        <v>42743.119999999995</v>
      </c>
    </row>
    <row r="111" spans="1:9" ht="16">
      <c r="A111" s="35" t="s">
        <v>198</v>
      </c>
      <c r="I111" s="29">
        <f>I85+I86+I87+I88+I89+I90+I91+I92+I93+I94+I95+I96+I97+I98+I99+I100+I101+I102+I103+I104+I105+I106+I107+I108+I109+I110</f>
        <v>42743.119999999995</v>
      </c>
    </row>
    <row r="112" spans="1:1" ht="16">
      <c r="A112" s="34" t="s">
        <v>199</v>
      </c>
    </row>
    <row r="113" spans="2:10" ht="16">
      <c r="B113" s="25" t="s">
        <v>54</v>
      </c>
      <c r="C113" s="25" t="s">
        <v>6</v>
      </c>
      <c r="D113" s="25" t="s">
        <v>7</v>
      </c>
      <c r="E113" s="25" t="s">
        <v>200</v>
      </c>
      <c r="F113" s="25" t="s">
        <v>201</v>
      </c>
      <c r="G113" s="25" t="s">
        <v>202</v>
      </c>
      <c r="H113" s="25" t="s">
        <v>11</v>
      </c>
      <c r="I113" s="28">
        <v>3734.48</v>
      </c>
      <c r="J113" s="28">
        <v>3734.48</v>
      </c>
    </row>
    <row r="114" spans="2:10" ht="16">
      <c r="B114" s="25" t="s">
        <v>66</v>
      </c>
      <c r="C114" s="25" t="s">
        <v>6</v>
      </c>
      <c r="D114" s="25" t="s">
        <v>7</v>
      </c>
      <c r="E114" s="25" t="s">
        <v>203</v>
      </c>
      <c r="F114" s="25" t="s">
        <v>204</v>
      </c>
      <c r="G114" s="25" t="s">
        <v>202</v>
      </c>
      <c r="H114" s="25" t="s">
        <v>11</v>
      </c>
      <c r="I114" s="28">
        <v>405.23</v>
      </c>
      <c r="J114" s="28">
        <v>4139.71</v>
      </c>
    </row>
    <row r="115" spans="2:10" ht="16">
      <c r="B115" s="25" t="s">
        <v>84</v>
      </c>
      <c r="C115" s="25" t="s">
        <v>6</v>
      </c>
      <c r="D115" s="25" t="s">
        <v>7</v>
      </c>
      <c r="E115" s="25" t="s">
        <v>203</v>
      </c>
      <c r="F115" s="25" t="s">
        <v>205</v>
      </c>
      <c r="G115" s="25" t="s">
        <v>202</v>
      </c>
      <c r="H115" s="25" t="s">
        <v>11</v>
      </c>
      <c r="I115" s="28">
        <v>452.18</v>
      </c>
      <c r="J115" s="28">
        <v>4591.89</v>
      </c>
    </row>
    <row r="116" spans="2:10" ht="16">
      <c r="B116" s="25" t="s">
        <v>94</v>
      </c>
      <c r="C116" s="25" t="s">
        <v>206</v>
      </c>
      <c r="D116" s="25" t="s">
        <v>207</v>
      </c>
      <c r="E116" s="25" t="s">
        <v>208</v>
      </c>
      <c r="F116" s="25" t="s">
        <v>209</v>
      </c>
      <c r="G116" s="25" t="s">
        <v>202</v>
      </c>
      <c r="H116" s="25" t="s">
        <v>11</v>
      </c>
      <c r="I116" s="28">
        <v>-750.0</v>
      </c>
      <c r="J116" s="28">
        <v>3841.8900000000003</v>
      </c>
    </row>
    <row r="117" spans="2:10" ht="16">
      <c r="B117" s="25" t="s">
        <v>106</v>
      </c>
      <c r="C117" s="25" t="s">
        <v>6</v>
      </c>
      <c r="D117" s="25" t="s">
        <v>7</v>
      </c>
      <c r="E117" s="25" t="s">
        <v>203</v>
      </c>
      <c r="F117" s="25" t="s">
        <v>210</v>
      </c>
      <c r="G117" s="25" t="s">
        <v>202</v>
      </c>
      <c r="H117" s="25" t="s">
        <v>11</v>
      </c>
      <c r="I117" s="28">
        <v>568.15</v>
      </c>
      <c r="J117" s="28">
        <v>4410.04</v>
      </c>
    </row>
    <row r="118" spans="1:9" ht="16">
      <c r="A118" s="35" t="s">
        <v>211</v>
      </c>
      <c r="I118" s="29">
        <f>I112+I113+I114+I115+I116+I117</f>
        <v>4410.04</v>
      </c>
    </row>
    <row r="119" spans="1:1" ht="16">
      <c r="A119" s="34" t="s">
        <v>212</v>
      </c>
    </row>
    <row r="120" spans="2:10" ht="16">
      <c r="B120" s="25" t="s">
        <v>15</v>
      </c>
      <c r="C120" s="25" t="s">
        <v>6</v>
      </c>
      <c r="D120" s="25" t="s">
        <v>7</v>
      </c>
      <c r="E120" s="25" t="s">
        <v>213</v>
      </c>
      <c r="F120" s="25" t="s">
        <v>214</v>
      </c>
      <c r="G120" s="25" t="s">
        <v>215</v>
      </c>
      <c r="H120" s="25" t="s">
        <v>11</v>
      </c>
      <c r="I120" s="28">
        <v>2520.0</v>
      </c>
      <c r="J120" s="28">
        <v>2520.0</v>
      </c>
    </row>
    <row r="121" spans="2:10" ht="16">
      <c r="B121" s="25" t="s">
        <v>20</v>
      </c>
      <c r="C121" s="25" t="s">
        <v>6</v>
      </c>
      <c r="D121" s="25" t="s">
        <v>7</v>
      </c>
      <c r="E121" s="25" t="s">
        <v>216</v>
      </c>
      <c r="F121" s="25" t="s">
        <v>217</v>
      </c>
      <c r="G121" s="25" t="s">
        <v>215</v>
      </c>
      <c r="H121" s="25" t="s">
        <v>11</v>
      </c>
      <c r="I121" s="28">
        <v>876.73</v>
      </c>
      <c r="J121" s="28">
        <v>3396.73</v>
      </c>
    </row>
    <row r="122" spans="2:10" ht="16">
      <c r="B122" s="25" t="s">
        <v>218</v>
      </c>
      <c r="C122" s="25" t="s">
        <v>6</v>
      </c>
      <c r="D122" s="25" t="s">
        <v>7</v>
      </c>
      <c r="E122" s="25" t="s">
        <v>219</v>
      </c>
      <c r="F122" s="25" t="s">
        <v>220</v>
      </c>
      <c r="G122" s="25" t="s">
        <v>215</v>
      </c>
      <c r="H122" s="25" t="s">
        <v>11</v>
      </c>
      <c r="I122" s="28">
        <v>4222.31</v>
      </c>
      <c r="J122" s="28">
        <v>7619.040000000001</v>
      </c>
    </row>
    <row r="123" spans="2:10" ht="16">
      <c r="B123" s="25" t="s">
        <v>38</v>
      </c>
      <c r="C123" s="25" t="s">
        <v>6</v>
      </c>
      <c r="D123" s="25" t="s">
        <v>7</v>
      </c>
      <c r="E123" s="25" t="s">
        <v>221</v>
      </c>
      <c r="F123" s="25" t="s">
        <v>222</v>
      </c>
      <c r="G123" s="25" t="s">
        <v>215</v>
      </c>
      <c r="H123" s="25" t="s">
        <v>11</v>
      </c>
      <c r="I123" s="28">
        <v>2000.0</v>
      </c>
      <c r="J123" s="28">
        <v>9619.04</v>
      </c>
    </row>
    <row r="124" spans="2:10" ht="16">
      <c r="B124" s="25" t="s">
        <v>40</v>
      </c>
      <c r="C124" s="25" t="s">
        <v>6</v>
      </c>
      <c r="D124" s="25" t="s">
        <v>7</v>
      </c>
      <c r="E124" s="25" t="s">
        <v>221</v>
      </c>
      <c r="F124" s="25" t="s">
        <v>223</v>
      </c>
      <c r="G124" s="25" t="s">
        <v>215</v>
      </c>
      <c r="H124" s="25" t="s">
        <v>11</v>
      </c>
      <c r="I124" s="28">
        <v>2000.0</v>
      </c>
      <c r="J124" s="28">
        <v>11619.04</v>
      </c>
    </row>
    <row r="125" spans="2:10" ht="16">
      <c r="B125" s="25" t="s">
        <v>40</v>
      </c>
      <c r="C125" s="25" t="s">
        <v>6</v>
      </c>
      <c r="D125" s="25" t="s">
        <v>7</v>
      </c>
      <c r="E125" s="25" t="s">
        <v>213</v>
      </c>
      <c r="F125" s="25" t="s">
        <v>224</v>
      </c>
      <c r="G125" s="25" t="s">
        <v>215</v>
      </c>
      <c r="H125" s="25" t="s">
        <v>11</v>
      </c>
      <c r="I125" s="28">
        <v>2520.0</v>
      </c>
      <c r="J125" s="28">
        <v>14139.04</v>
      </c>
    </row>
    <row r="126" spans="2:10" ht="16">
      <c r="B126" s="25" t="s">
        <v>42</v>
      </c>
      <c r="C126" s="25" t="s">
        <v>6</v>
      </c>
      <c r="D126" s="25" t="s">
        <v>7</v>
      </c>
      <c r="E126" s="25" t="s">
        <v>221</v>
      </c>
      <c r="F126" s="25" t="s">
        <v>225</v>
      </c>
      <c r="G126" s="25" t="s">
        <v>215</v>
      </c>
      <c r="H126" s="25" t="s">
        <v>11</v>
      </c>
      <c r="I126" s="28">
        <v>2000.0</v>
      </c>
      <c r="J126" s="28">
        <v>16139.04</v>
      </c>
    </row>
    <row r="127" spans="2:10" ht="16">
      <c r="B127" s="25" t="s">
        <v>46</v>
      </c>
      <c r="C127" s="25" t="s">
        <v>6</v>
      </c>
      <c r="D127" s="25" t="s">
        <v>7</v>
      </c>
      <c r="E127" s="25" t="s">
        <v>221</v>
      </c>
      <c r="F127" s="25" t="s">
        <v>226</v>
      </c>
      <c r="G127" s="25" t="s">
        <v>215</v>
      </c>
      <c r="H127" s="25" t="s">
        <v>11</v>
      </c>
      <c r="I127" s="28">
        <v>2000.0</v>
      </c>
      <c r="J127" s="28">
        <v>18139.04</v>
      </c>
    </row>
    <row r="128" spans="2:10" ht="16">
      <c r="B128" s="25" t="s">
        <v>227</v>
      </c>
      <c r="C128" s="25" t="s">
        <v>6</v>
      </c>
      <c r="D128" s="25" t="s">
        <v>7</v>
      </c>
      <c r="E128" s="25" t="s">
        <v>221</v>
      </c>
      <c r="F128" s="25" t="s">
        <v>228</v>
      </c>
      <c r="G128" s="25" t="s">
        <v>215</v>
      </c>
      <c r="H128" s="25" t="s">
        <v>11</v>
      </c>
      <c r="I128" s="28">
        <v>4000.0</v>
      </c>
      <c r="J128" s="28">
        <v>22139.04</v>
      </c>
    </row>
    <row r="129" spans="2:10" ht="16">
      <c r="B129" s="25" t="s">
        <v>50</v>
      </c>
      <c r="C129" s="25" t="s">
        <v>6</v>
      </c>
      <c r="D129" s="25" t="s">
        <v>7</v>
      </c>
      <c r="E129" s="25" t="s">
        <v>221</v>
      </c>
      <c r="F129" s="25" t="s">
        <v>229</v>
      </c>
      <c r="G129" s="25" t="s">
        <v>215</v>
      </c>
      <c r="H129" s="25" t="s">
        <v>11</v>
      </c>
      <c r="I129" s="28">
        <v>5137.31</v>
      </c>
      <c r="J129" s="28">
        <v>27276.350000000002</v>
      </c>
    </row>
    <row r="130" spans="2:10" ht="16">
      <c r="B130" s="25" t="s">
        <v>52</v>
      </c>
      <c r="C130" s="25" t="s">
        <v>6</v>
      </c>
      <c r="D130" s="25" t="s">
        <v>7</v>
      </c>
      <c r="E130" s="25" t="s">
        <v>221</v>
      </c>
      <c r="F130" s="25" t="s">
        <v>230</v>
      </c>
      <c r="G130" s="25" t="s">
        <v>215</v>
      </c>
      <c r="H130" s="25" t="s">
        <v>11</v>
      </c>
      <c r="I130" s="28">
        <v>1638.99</v>
      </c>
      <c r="J130" s="28">
        <v>28915.340000000004</v>
      </c>
    </row>
    <row r="131" spans="2:10" ht="16">
      <c r="B131" s="25" t="s">
        <v>52</v>
      </c>
      <c r="C131" s="25" t="s">
        <v>6</v>
      </c>
      <c r="D131" s="25" t="s">
        <v>7</v>
      </c>
      <c r="E131" s="25" t="s">
        <v>213</v>
      </c>
      <c r="F131" s="25" t="s">
        <v>231</v>
      </c>
      <c r="G131" s="25" t="s">
        <v>215</v>
      </c>
      <c r="H131" s="25" t="s">
        <v>11</v>
      </c>
      <c r="I131" s="28">
        <v>2520.0</v>
      </c>
      <c r="J131" s="28">
        <v>31435.340000000004</v>
      </c>
    </row>
    <row r="132" spans="2:10" ht="16">
      <c r="B132" s="25" t="s">
        <v>232</v>
      </c>
      <c r="C132" s="25" t="s">
        <v>6</v>
      </c>
      <c r="D132" s="25" t="s">
        <v>7</v>
      </c>
      <c r="E132" s="25" t="s">
        <v>219</v>
      </c>
      <c r="F132" s="25" t="s">
        <v>233</v>
      </c>
      <c r="G132" s="25" t="s">
        <v>215</v>
      </c>
      <c r="H132" s="25" t="s">
        <v>11</v>
      </c>
      <c r="I132" s="28">
        <v>6238.26</v>
      </c>
      <c r="J132" s="28">
        <v>37673.600000000006</v>
      </c>
    </row>
    <row r="133" spans="2:10" ht="16">
      <c r="B133" s="25" t="s">
        <v>66</v>
      </c>
      <c r="C133" s="25" t="s">
        <v>6</v>
      </c>
      <c r="D133" s="25" t="s">
        <v>7</v>
      </c>
      <c r="E133" s="25" t="s">
        <v>221</v>
      </c>
      <c r="F133" s="25" t="s">
        <v>234</v>
      </c>
      <c r="G133" s="25" t="s">
        <v>215</v>
      </c>
      <c r="H133" s="25" t="s">
        <v>11</v>
      </c>
      <c r="I133" s="28">
        <v>10888.77</v>
      </c>
      <c r="J133" s="28">
        <v>48562.37000000001</v>
      </c>
    </row>
    <row r="134" spans="2:10" ht="16">
      <c r="B134" s="25" t="s">
        <v>235</v>
      </c>
      <c r="C134" s="25" t="s">
        <v>6</v>
      </c>
      <c r="D134" s="25" t="s">
        <v>7</v>
      </c>
      <c r="E134" s="25" t="s">
        <v>219</v>
      </c>
      <c r="F134" s="25" t="s">
        <v>236</v>
      </c>
      <c r="G134" s="25" t="s">
        <v>215</v>
      </c>
      <c r="H134" s="25" t="s">
        <v>11</v>
      </c>
      <c r="I134" s="28">
        <v>1141.55</v>
      </c>
      <c r="J134" s="28">
        <v>49703.92000000001</v>
      </c>
    </row>
    <row r="135" spans="2:10" ht="16">
      <c r="B135" s="25" t="s">
        <v>237</v>
      </c>
      <c r="C135" s="25" t="s">
        <v>6</v>
      </c>
      <c r="D135" s="25" t="s">
        <v>7</v>
      </c>
      <c r="E135" s="25" t="s">
        <v>238</v>
      </c>
      <c r="F135" s="25" t="s">
        <v>239</v>
      </c>
      <c r="G135" s="25" t="s">
        <v>215</v>
      </c>
      <c r="H135" s="25" t="s">
        <v>11</v>
      </c>
      <c r="I135" s="28">
        <v>1402.12</v>
      </c>
      <c r="J135" s="28">
        <v>51106.040000000015</v>
      </c>
    </row>
    <row r="136" spans="2:10" ht="16">
      <c r="B136" s="25" t="s">
        <v>240</v>
      </c>
      <c r="C136" s="25" t="s">
        <v>6</v>
      </c>
      <c r="D136" s="25" t="s">
        <v>7</v>
      </c>
      <c r="E136" s="25" t="s">
        <v>221</v>
      </c>
      <c r="F136" s="25" t="s">
        <v>241</v>
      </c>
      <c r="G136" s="25" t="s">
        <v>215</v>
      </c>
      <c r="H136" s="25" t="s">
        <v>11</v>
      </c>
      <c r="I136" s="28">
        <v>12189.24</v>
      </c>
      <c r="J136" s="28">
        <v>63295.28000000001</v>
      </c>
    </row>
    <row r="137" spans="2:10" ht="16">
      <c r="B137" s="25" t="s">
        <v>242</v>
      </c>
      <c r="C137" s="25" t="s">
        <v>6</v>
      </c>
      <c r="D137" s="25" t="s">
        <v>7</v>
      </c>
      <c r="E137" s="25" t="s">
        <v>219</v>
      </c>
      <c r="F137" s="25" t="s">
        <v>243</v>
      </c>
      <c r="G137" s="25" t="s">
        <v>215</v>
      </c>
      <c r="H137" s="25" t="s">
        <v>11</v>
      </c>
      <c r="I137" s="28">
        <v>5362.39</v>
      </c>
      <c r="J137" s="28">
        <v>68657.67000000001</v>
      </c>
    </row>
    <row r="138" spans="2:10" ht="16">
      <c r="B138" s="25" t="s">
        <v>76</v>
      </c>
      <c r="C138" s="25" t="s">
        <v>6</v>
      </c>
      <c r="D138" s="25" t="s">
        <v>7</v>
      </c>
      <c r="E138" s="25" t="s">
        <v>244</v>
      </c>
      <c r="F138" s="25" t="s">
        <v>245</v>
      </c>
      <c r="G138" s="25" t="s">
        <v>215</v>
      </c>
      <c r="H138" s="25" t="s">
        <v>11</v>
      </c>
      <c r="I138" s="28">
        <v>2171.98</v>
      </c>
      <c r="J138" s="28">
        <v>70829.65000000001</v>
      </c>
    </row>
    <row r="139" spans="2:10" ht="16">
      <c r="B139" s="25" t="s">
        <v>246</v>
      </c>
      <c r="C139" s="25" t="s">
        <v>6</v>
      </c>
      <c r="D139" s="25" t="s">
        <v>7</v>
      </c>
      <c r="E139" s="25" t="s">
        <v>221</v>
      </c>
      <c r="F139" s="25" t="s">
        <v>247</v>
      </c>
      <c r="G139" s="25" t="s">
        <v>215</v>
      </c>
      <c r="H139" s="25" t="s">
        <v>11</v>
      </c>
      <c r="I139" s="28">
        <v>2455.03</v>
      </c>
      <c r="J139" s="28">
        <v>73284.68000000001</v>
      </c>
    </row>
    <row r="140" spans="2:10" ht="16">
      <c r="B140" s="25" t="s">
        <v>82</v>
      </c>
      <c r="C140" s="25" t="s">
        <v>6</v>
      </c>
      <c r="D140" s="25" t="s">
        <v>7</v>
      </c>
      <c r="E140" s="25" t="s">
        <v>244</v>
      </c>
      <c r="F140" s="25" t="s">
        <v>248</v>
      </c>
      <c r="G140" s="25" t="s">
        <v>215</v>
      </c>
      <c r="H140" s="25" t="s">
        <v>11</v>
      </c>
      <c r="I140" s="28">
        <v>2574.9</v>
      </c>
      <c r="J140" s="28">
        <v>75859.58</v>
      </c>
    </row>
    <row r="141" spans="2:10" ht="16">
      <c r="B141" s="25" t="s">
        <v>181</v>
      </c>
      <c r="C141" s="25" t="s">
        <v>6</v>
      </c>
      <c r="D141" s="25" t="s">
        <v>7</v>
      </c>
      <c r="E141" s="25" t="s">
        <v>213</v>
      </c>
      <c r="F141" s="25" t="s">
        <v>249</v>
      </c>
      <c r="G141" s="25" t="s">
        <v>215</v>
      </c>
      <c r="H141" s="25" t="s">
        <v>142</v>
      </c>
      <c r="I141" s="28">
        <v>3000.0</v>
      </c>
      <c r="J141" s="28">
        <v>78859.58</v>
      </c>
    </row>
    <row r="142" spans="2:10" ht="16">
      <c r="B142" s="25" t="s">
        <v>181</v>
      </c>
      <c r="C142" s="25" t="s">
        <v>6</v>
      </c>
      <c r="D142" s="25" t="s">
        <v>7</v>
      </c>
      <c r="E142" s="25" t="s">
        <v>238</v>
      </c>
      <c r="F142" s="25" t="s">
        <v>250</v>
      </c>
      <c r="G142" s="25" t="s">
        <v>215</v>
      </c>
      <c r="H142" s="25" t="s">
        <v>11</v>
      </c>
      <c r="I142" s="28">
        <v>1754.1</v>
      </c>
      <c r="J142" s="28">
        <v>80613.68000000001</v>
      </c>
    </row>
    <row r="143" spans="2:10" ht="16">
      <c r="B143" s="25" t="s">
        <v>251</v>
      </c>
      <c r="C143" s="25" t="s">
        <v>6</v>
      </c>
      <c r="D143" s="25" t="s">
        <v>7</v>
      </c>
      <c r="E143" s="25" t="s">
        <v>219</v>
      </c>
      <c r="F143" s="25" t="s">
        <v>252</v>
      </c>
      <c r="G143" s="25" t="s">
        <v>215</v>
      </c>
      <c r="H143" s="25" t="s">
        <v>11</v>
      </c>
      <c r="I143" s="28">
        <v>889.76</v>
      </c>
      <c r="J143" s="28">
        <v>81503.44</v>
      </c>
    </row>
    <row r="144" spans="2:10" ht="16">
      <c r="B144" s="25" t="s">
        <v>143</v>
      </c>
      <c r="C144" s="25" t="s">
        <v>6</v>
      </c>
      <c r="D144" s="25" t="s">
        <v>7</v>
      </c>
      <c r="E144" s="25" t="s">
        <v>221</v>
      </c>
      <c r="F144" s="25" t="s">
        <v>253</v>
      </c>
      <c r="G144" s="25" t="s">
        <v>215</v>
      </c>
      <c r="H144" s="25" t="s">
        <v>11</v>
      </c>
      <c r="I144" s="28">
        <v>6000.0</v>
      </c>
      <c r="J144" s="28">
        <v>87503.44</v>
      </c>
    </row>
    <row r="145" spans="2:10" ht="16">
      <c r="B145" s="25" t="s">
        <v>94</v>
      </c>
      <c r="C145" s="25" t="s">
        <v>6</v>
      </c>
      <c r="D145" s="25" t="s">
        <v>7</v>
      </c>
      <c r="E145" s="25" t="s">
        <v>221</v>
      </c>
      <c r="F145" s="25" t="s">
        <v>254</v>
      </c>
      <c r="G145" s="25" t="s">
        <v>215</v>
      </c>
      <c r="H145" s="25" t="s">
        <v>150</v>
      </c>
      <c r="I145" s="28">
        <v>6330.55</v>
      </c>
      <c r="J145" s="28">
        <v>93833.99</v>
      </c>
    </row>
    <row r="146" spans="2:10" ht="16">
      <c r="B146" s="25" t="s">
        <v>255</v>
      </c>
      <c r="C146" s="25" t="s">
        <v>6</v>
      </c>
      <c r="D146" s="25" t="s">
        <v>7</v>
      </c>
      <c r="E146" s="25" t="s">
        <v>221</v>
      </c>
      <c r="F146" s="25" t="s">
        <v>256</v>
      </c>
      <c r="G146" s="25" t="s">
        <v>215</v>
      </c>
      <c r="H146" s="25" t="s">
        <v>142</v>
      </c>
      <c r="I146" s="28">
        <v>3000.0</v>
      </c>
      <c r="J146" s="28">
        <v>96833.99</v>
      </c>
    </row>
    <row r="147" spans="2:10" ht="16">
      <c r="B147" s="25" t="s">
        <v>96</v>
      </c>
      <c r="C147" s="25" t="s">
        <v>6</v>
      </c>
      <c r="D147" s="25" t="s">
        <v>7</v>
      </c>
      <c r="E147" s="25" t="s">
        <v>257</v>
      </c>
      <c r="F147" s="25" t="s">
        <v>258</v>
      </c>
      <c r="G147" s="25" t="s">
        <v>215</v>
      </c>
      <c r="H147" s="25" t="s">
        <v>11</v>
      </c>
      <c r="I147" s="28">
        <v>1883.29</v>
      </c>
      <c r="J147" s="28">
        <v>98717.28</v>
      </c>
    </row>
    <row r="148" spans="2:10" ht="16">
      <c r="B148" s="25" t="s">
        <v>188</v>
      </c>
      <c r="C148" s="25" t="s">
        <v>6</v>
      </c>
      <c r="D148" s="25" t="s">
        <v>7</v>
      </c>
      <c r="E148" s="25" t="s">
        <v>216</v>
      </c>
      <c r="F148" s="25" t="s">
        <v>259</v>
      </c>
      <c r="G148" s="25" t="s">
        <v>215</v>
      </c>
      <c r="H148" s="25" t="s">
        <v>11</v>
      </c>
      <c r="I148" s="28">
        <v>1044.24</v>
      </c>
      <c r="J148" s="28">
        <v>99761.52</v>
      </c>
    </row>
    <row r="149" spans="2:10" ht="16">
      <c r="B149" s="25" t="s">
        <v>260</v>
      </c>
      <c r="C149" s="25" t="s">
        <v>6</v>
      </c>
      <c r="D149" s="25" t="s">
        <v>7</v>
      </c>
      <c r="E149" s="25" t="s">
        <v>221</v>
      </c>
      <c r="F149" s="25" t="s">
        <v>261</v>
      </c>
      <c r="G149" s="25" t="s">
        <v>215</v>
      </c>
      <c r="H149" s="25" t="s">
        <v>11</v>
      </c>
      <c r="I149" s="28">
        <v>7363.61</v>
      </c>
      <c r="J149" s="28">
        <v>107125.13</v>
      </c>
    </row>
    <row r="150" spans="2:10" ht="16">
      <c r="B150" s="25" t="s">
        <v>98</v>
      </c>
      <c r="C150" s="25" t="s">
        <v>6</v>
      </c>
      <c r="D150" s="25" t="s">
        <v>7</v>
      </c>
      <c r="E150" s="25" t="s">
        <v>244</v>
      </c>
      <c r="F150" s="25" t="s">
        <v>262</v>
      </c>
      <c r="G150" s="25" t="s">
        <v>215</v>
      </c>
      <c r="H150" s="25" t="s">
        <v>11</v>
      </c>
      <c r="I150" s="28">
        <v>3359.9</v>
      </c>
      <c r="J150" s="28">
        <v>110485.03</v>
      </c>
    </row>
    <row r="151" spans="2:10" ht="16">
      <c r="B151" s="25" t="s">
        <v>100</v>
      </c>
      <c r="C151" s="25" t="s">
        <v>6</v>
      </c>
      <c r="D151" s="25" t="s">
        <v>7</v>
      </c>
      <c r="E151" s="25" t="s">
        <v>221</v>
      </c>
      <c r="F151" s="25" t="s">
        <v>263</v>
      </c>
      <c r="G151" s="25" t="s">
        <v>215</v>
      </c>
      <c r="H151" s="25" t="s">
        <v>11</v>
      </c>
      <c r="I151" s="28">
        <v>3561.36</v>
      </c>
      <c r="J151" s="28">
        <v>114046.39</v>
      </c>
    </row>
    <row r="152" spans="2:10" ht="16">
      <c r="B152" s="25" t="s">
        <v>190</v>
      </c>
      <c r="C152" s="25" t="s">
        <v>6</v>
      </c>
      <c r="D152" s="25" t="s">
        <v>7</v>
      </c>
      <c r="E152" s="25" t="s">
        <v>213</v>
      </c>
      <c r="F152" s="25" t="s">
        <v>264</v>
      </c>
      <c r="G152" s="25" t="s">
        <v>215</v>
      </c>
      <c r="H152" s="25" t="s">
        <v>11</v>
      </c>
      <c r="I152" s="28">
        <v>2520.0</v>
      </c>
      <c r="J152" s="28">
        <v>116566.39</v>
      </c>
    </row>
    <row r="153" spans="2:10" ht="16">
      <c r="B153" s="25" t="s">
        <v>265</v>
      </c>
      <c r="C153" s="25" t="s">
        <v>6</v>
      </c>
      <c r="D153" s="25" t="s">
        <v>7</v>
      </c>
      <c r="E153" s="25" t="s">
        <v>221</v>
      </c>
      <c r="F153" s="25" t="s">
        <v>266</v>
      </c>
      <c r="G153" s="25" t="s">
        <v>215</v>
      </c>
      <c r="H153" s="25" t="s">
        <v>11</v>
      </c>
      <c r="I153" s="28">
        <v>3500.0</v>
      </c>
      <c r="J153" s="28">
        <v>120066.39</v>
      </c>
    </row>
    <row r="154" spans="2:10" ht="16">
      <c r="B154" s="25" t="s">
        <v>104</v>
      </c>
      <c r="C154" s="25" t="s">
        <v>6</v>
      </c>
      <c r="D154" s="25" t="s">
        <v>7</v>
      </c>
      <c r="E154" s="25" t="s">
        <v>221</v>
      </c>
      <c r="F154" s="25" t="s">
        <v>267</v>
      </c>
      <c r="G154" s="25" t="s">
        <v>215</v>
      </c>
      <c r="H154" s="25" t="s">
        <v>11</v>
      </c>
      <c r="I154" s="28">
        <v>15000.0</v>
      </c>
      <c r="J154" s="28">
        <v>135066.39</v>
      </c>
    </row>
    <row r="155" spans="2:10" ht="16">
      <c r="B155" s="25" t="s">
        <v>268</v>
      </c>
      <c r="C155" s="25" t="s">
        <v>6</v>
      </c>
      <c r="D155" s="25" t="s">
        <v>7</v>
      </c>
      <c r="E155" s="25" t="s">
        <v>213</v>
      </c>
      <c r="F155" s="25" t="s">
        <v>269</v>
      </c>
      <c r="G155" s="25" t="s">
        <v>215</v>
      </c>
      <c r="H155" s="25" t="s">
        <v>11</v>
      </c>
      <c r="I155" s="28">
        <v>2520.0</v>
      </c>
      <c r="J155" s="28">
        <v>137586.39</v>
      </c>
    </row>
    <row r="156" spans="2:10" ht="16">
      <c r="B156" s="25" t="s">
        <v>106</v>
      </c>
      <c r="C156" s="25" t="s">
        <v>6</v>
      </c>
      <c r="D156" s="25" t="s">
        <v>7</v>
      </c>
      <c r="E156" s="25" t="s">
        <v>238</v>
      </c>
      <c r="F156" s="25" t="s">
        <v>270</v>
      </c>
      <c r="G156" s="25" t="s">
        <v>215</v>
      </c>
      <c r="H156" s="25" t="s">
        <v>11</v>
      </c>
      <c r="I156" s="28">
        <v>1533.49</v>
      </c>
      <c r="J156" s="28">
        <v>139119.88</v>
      </c>
    </row>
    <row r="157" spans="2:10" ht="16">
      <c r="B157" s="25" t="s">
        <v>271</v>
      </c>
      <c r="C157" s="25" t="s">
        <v>6</v>
      </c>
      <c r="D157" s="25" t="s">
        <v>7</v>
      </c>
      <c r="E157" s="25" t="s">
        <v>219</v>
      </c>
      <c r="F157" s="25" t="s">
        <v>272</v>
      </c>
      <c r="G157" s="25" t="s">
        <v>215</v>
      </c>
      <c r="H157" s="25" t="s">
        <v>11</v>
      </c>
      <c r="I157" s="28">
        <v>1139.84</v>
      </c>
      <c r="J157" s="28">
        <v>140259.72</v>
      </c>
    </row>
    <row r="158" spans="2:10" ht="16">
      <c r="B158" s="25" t="s">
        <v>108</v>
      </c>
      <c r="C158" s="25" t="s">
        <v>6</v>
      </c>
      <c r="D158" s="25" t="s">
        <v>7</v>
      </c>
      <c r="E158" s="25" t="s">
        <v>221</v>
      </c>
      <c r="F158" s="25" t="s">
        <v>273</v>
      </c>
      <c r="G158" s="25" t="s">
        <v>215</v>
      </c>
      <c r="H158" s="25" t="s">
        <v>142</v>
      </c>
      <c r="I158" s="28">
        <v>3684.33</v>
      </c>
      <c r="J158" s="28">
        <v>143944.05</v>
      </c>
    </row>
    <row r="159" spans="2:10" ht="16">
      <c r="B159" s="25" t="s">
        <v>274</v>
      </c>
      <c r="C159" s="25" t="s">
        <v>6</v>
      </c>
      <c r="D159" s="25" t="s">
        <v>7</v>
      </c>
      <c r="E159" s="25" t="s">
        <v>213</v>
      </c>
      <c r="F159" s="25" t="s">
        <v>275</v>
      </c>
      <c r="G159" s="25" t="s">
        <v>215</v>
      </c>
      <c r="H159" s="25" t="s">
        <v>11</v>
      </c>
      <c r="I159" s="28">
        <v>2520.0</v>
      </c>
      <c r="J159" s="28">
        <v>146464.05</v>
      </c>
    </row>
    <row r="160" spans="2:10" ht="16">
      <c r="B160" s="25" t="s">
        <v>276</v>
      </c>
      <c r="C160" s="25" t="s">
        <v>6</v>
      </c>
      <c r="D160" s="25" t="s">
        <v>7</v>
      </c>
      <c r="E160" s="25" t="s">
        <v>244</v>
      </c>
      <c r="F160" s="25" t="s">
        <v>277</v>
      </c>
      <c r="G160" s="25" t="s">
        <v>215</v>
      </c>
      <c r="H160" s="25" t="s">
        <v>142</v>
      </c>
      <c r="I160" s="28">
        <v>6138.58</v>
      </c>
      <c r="J160" s="28">
        <v>152602.62999999998</v>
      </c>
    </row>
    <row r="161" spans="2:10" ht="16">
      <c r="B161" s="25" t="s">
        <v>112</v>
      </c>
      <c r="C161" s="25" t="s">
        <v>6</v>
      </c>
      <c r="D161" s="25" t="s">
        <v>7</v>
      </c>
      <c r="E161" s="25" t="s">
        <v>221</v>
      </c>
      <c r="F161" s="25" t="s">
        <v>278</v>
      </c>
      <c r="G161" s="25" t="s">
        <v>215</v>
      </c>
      <c r="H161" s="25" t="s">
        <v>142</v>
      </c>
      <c r="I161" s="28">
        <v>4303.02</v>
      </c>
      <c r="J161" s="28">
        <v>156905.64999999997</v>
      </c>
    </row>
    <row r="162" spans="2:10" ht="16">
      <c r="B162" s="25" t="s">
        <v>279</v>
      </c>
      <c r="C162" s="25" t="s">
        <v>6</v>
      </c>
      <c r="D162" s="25" t="s">
        <v>7</v>
      </c>
      <c r="E162" s="25" t="s">
        <v>213</v>
      </c>
      <c r="F162" s="25" t="s">
        <v>280</v>
      </c>
      <c r="G162" s="25" t="s">
        <v>215</v>
      </c>
      <c r="H162" s="25" t="s">
        <v>11</v>
      </c>
      <c r="I162" s="28">
        <v>2520.0</v>
      </c>
      <c r="J162" s="28">
        <v>159425.64999999997</v>
      </c>
    </row>
    <row r="163" spans="2:10" ht="16">
      <c r="B163" s="25" t="s">
        <v>279</v>
      </c>
      <c r="C163" s="25" t="s">
        <v>6</v>
      </c>
      <c r="D163" s="25" t="s">
        <v>7</v>
      </c>
      <c r="E163" s="25" t="s">
        <v>257</v>
      </c>
      <c r="F163" s="25" t="s">
        <v>281</v>
      </c>
      <c r="G163" s="25" t="s">
        <v>215</v>
      </c>
      <c r="H163" s="25" t="s">
        <v>11</v>
      </c>
      <c r="I163" s="28">
        <v>1544.38</v>
      </c>
      <c r="J163" s="28">
        <v>160970.02999999997</v>
      </c>
    </row>
    <row r="164" spans="2:10" ht="16">
      <c r="B164" s="25" t="s">
        <v>116</v>
      </c>
      <c r="C164" s="25" t="s">
        <v>6</v>
      </c>
      <c r="D164" s="25" t="s">
        <v>7</v>
      </c>
      <c r="E164" s="25" t="s">
        <v>221</v>
      </c>
      <c r="F164" s="25" t="s">
        <v>282</v>
      </c>
      <c r="G164" s="25" t="s">
        <v>215</v>
      </c>
      <c r="H164" s="25" t="s">
        <v>11</v>
      </c>
      <c r="I164" s="28">
        <v>2750.0</v>
      </c>
      <c r="J164" s="28">
        <v>163720.02999999997</v>
      </c>
    </row>
    <row r="165" spans="2:10" ht="16">
      <c r="B165" s="25" t="s">
        <v>151</v>
      </c>
      <c r="C165" s="25" t="s">
        <v>6</v>
      </c>
      <c r="D165" s="25" t="s">
        <v>7</v>
      </c>
      <c r="E165" s="25" t="s">
        <v>221</v>
      </c>
      <c r="F165" s="25" t="s">
        <v>283</v>
      </c>
      <c r="G165" s="25" t="s">
        <v>215</v>
      </c>
      <c r="H165" s="25" t="s">
        <v>158</v>
      </c>
      <c r="I165" s="28">
        <v>5000.0</v>
      </c>
      <c r="J165" s="28">
        <v>168720.02999999997</v>
      </c>
    </row>
    <row r="166" spans="2:10" ht="16">
      <c r="B166" s="25" t="s">
        <v>151</v>
      </c>
      <c r="C166" s="25" t="s">
        <v>6</v>
      </c>
      <c r="D166" s="25" t="s">
        <v>7</v>
      </c>
      <c r="E166" s="25" t="s">
        <v>213</v>
      </c>
      <c r="F166" s="25" t="s">
        <v>284</v>
      </c>
      <c r="G166" s="25" t="s">
        <v>215</v>
      </c>
      <c r="H166" s="25" t="s">
        <v>11</v>
      </c>
      <c r="I166" s="28">
        <v>2520.0</v>
      </c>
      <c r="J166" s="28">
        <v>171240.02999999997</v>
      </c>
    </row>
    <row r="167" spans="1:9" ht="16">
      <c r="A167" s="35" t="s">
        <v>285</v>
      </c>
      <c r="I167" s="29">
        <f>I119+I120+I121+I122+I123+I124+I125+I126+I127+I128+I129+I130+I131+I132+I133+I134+I135+I136+I137+I138+I139+I140+I141+I142+I143+I144+I145+I146+I147+I148+I149+I150+I151+I152+I153+I154+I155+I156+I157+I158+I159+I160+I161+I162+I163+I164+I165+I166</f>
        <v>171240.02999999997</v>
      </c>
    </row>
    <row r="168" spans="1:1" ht="16">
      <c r="A168" s="34" t="s">
        <v>286</v>
      </c>
    </row>
    <row r="169" spans="2:10" ht="16">
      <c r="B169" s="25" t="s">
        <v>28</v>
      </c>
      <c r="C169" s="25" t="s">
        <v>6</v>
      </c>
      <c r="D169" s="25" t="s">
        <v>7</v>
      </c>
      <c r="E169" s="25" t="s">
        <v>287</v>
      </c>
      <c r="F169" s="25" t="s">
        <v>288</v>
      </c>
      <c r="G169" s="25" t="s">
        <v>289</v>
      </c>
      <c r="H169" s="25" t="s">
        <v>158</v>
      </c>
      <c r="I169" s="28">
        <v>387.0</v>
      </c>
      <c r="J169" s="28">
        <v>387.0</v>
      </c>
    </row>
    <row r="170" spans="2:10" ht="16">
      <c r="B170" s="25" t="s">
        <v>290</v>
      </c>
      <c r="C170" s="25" t="s">
        <v>6</v>
      </c>
      <c r="D170" s="25" t="s">
        <v>7</v>
      </c>
      <c r="E170" s="25" t="s">
        <v>291</v>
      </c>
      <c r="F170" s="25" t="s">
        <v>292</v>
      </c>
      <c r="G170" s="25" t="s">
        <v>289</v>
      </c>
      <c r="H170" s="25" t="s">
        <v>11</v>
      </c>
      <c r="I170" s="28">
        <v>140.33</v>
      </c>
      <c r="J170" s="28">
        <v>527.33</v>
      </c>
    </row>
    <row r="171" spans="2:10" ht="16">
      <c r="B171" s="25" t="s">
        <v>293</v>
      </c>
      <c r="C171" s="25" t="s">
        <v>206</v>
      </c>
      <c r="D171" s="25" t="s">
        <v>7</v>
      </c>
      <c r="E171" s="25" t="s">
        <v>291</v>
      </c>
      <c r="F171" s="25" t="s">
        <v>294</v>
      </c>
      <c r="G171" s="25" t="s">
        <v>289</v>
      </c>
      <c r="H171" s="25" t="s">
        <v>11</v>
      </c>
      <c r="I171" s="28">
        <v>-140.33</v>
      </c>
      <c r="J171" s="28">
        <v>387.0</v>
      </c>
    </row>
    <row r="172" spans="2:10" ht="16">
      <c r="B172" s="25" t="s">
        <v>44</v>
      </c>
      <c r="C172" s="25" t="s">
        <v>6</v>
      </c>
      <c r="D172" s="25" t="s">
        <v>7</v>
      </c>
      <c r="E172" s="25" t="s">
        <v>295</v>
      </c>
      <c r="F172" s="25" t="s">
        <v>296</v>
      </c>
      <c r="G172" s="25" t="s">
        <v>289</v>
      </c>
      <c r="H172" s="25" t="s">
        <v>11</v>
      </c>
      <c r="I172" s="28">
        <v>398.0</v>
      </c>
      <c r="J172" s="28">
        <v>785.0</v>
      </c>
    </row>
    <row r="173" spans="2:10" ht="16">
      <c r="B173" s="25" t="s">
        <v>46</v>
      </c>
      <c r="C173" s="25" t="s">
        <v>6</v>
      </c>
      <c r="D173" s="25" t="s">
        <v>7</v>
      </c>
      <c r="E173" s="25" t="s">
        <v>297</v>
      </c>
      <c r="F173" s="25" t="s">
        <v>298</v>
      </c>
      <c r="G173" s="25" t="s">
        <v>289</v>
      </c>
      <c r="H173" s="25" t="s">
        <v>11</v>
      </c>
      <c r="I173" s="28">
        <v>800.0</v>
      </c>
      <c r="J173" s="28">
        <v>1585.0</v>
      </c>
    </row>
    <row r="174" spans="2:10" ht="16">
      <c r="B174" s="25" t="s">
        <v>227</v>
      </c>
      <c r="C174" s="25" t="s">
        <v>6</v>
      </c>
      <c r="D174" s="25" t="s">
        <v>7</v>
      </c>
      <c r="E174" s="25" t="s">
        <v>299</v>
      </c>
      <c r="F174" s="25" t="s">
        <v>300</v>
      </c>
      <c r="G174" s="25" t="s">
        <v>289</v>
      </c>
      <c r="H174" s="25" t="s">
        <v>11</v>
      </c>
      <c r="I174" s="28">
        <v>201.91</v>
      </c>
      <c r="J174" s="28">
        <v>1786.91</v>
      </c>
    </row>
    <row r="175" spans="2:10" ht="16">
      <c r="B175" s="25" t="s">
        <v>52</v>
      </c>
      <c r="C175" s="25" t="s">
        <v>6</v>
      </c>
      <c r="D175" s="25" t="s">
        <v>7</v>
      </c>
      <c r="E175" s="25" t="s">
        <v>301</v>
      </c>
      <c r="F175" s="25" t="s">
        <v>302</v>
      </c>
      <c r="G175" s="25" t="s">
        <v>289</v>
      </c>
      <c r="H175" s="25" t="s">
        <v>11</v>
      </c>
      <c r="I175" s="28">
        <v>917.0</v>
      </c>
      <c r="J175" s="28">
        <v>2703.91</v>
      </c>
    </row>
    <row r="176" spans="2:10" ht="16">
      <c r="B176" s="25" t="s">
        <v>52</v>
      </c>
      <c r="C176" s="25" t="s">
        <v>6</v>
      </c>
      <c r="D176" s="25" t="s">
        <v>7</v>
      </c>
      <c r="E176" s="25" t="s">
        <v>291</v>
      </c>
      <c r="F176" s="25" t="s">
        <v>303</v>
      </c>
      <c r="G176" s="25" t="s">
        <v>289</v>
      </c>
      <c r="H176" s="25" t="s">
        <v>11</v>
      </c>
      <c r="I176" s="28">
        <v>503.18</v>
      </c>
      <c r="J176" s="28">
        <v>3207.0899999999997</v>
      </c>
    </row>
    <row r="177" spans="2:10" ht="16">
      <c r="B177" s="25" t="s">
        <v>54</v>
      </c>
      <c r="C177" s="25" t="s">
        <v>206</v>
      </c>
      <c r="D177" s="25" t="s">
        <v>7</v>
      </c>
      <c r="E177" s="25" t="s">
        <v>291</v>
      </c>
      <c r="F177" s="25" t="s">
        <v>304</v>
      </c>
      <c r="G177" s="25" t="s">
        <v>289</v>
      </c>
      <c r="H177" s="25" t="s">
        <v>11</v>
      </c>
      <c r="I177" s="28">
        <v>-503.18</v>
      </c>
      <c r="J177" s="28">
        <v>2703.91</v>
      </c>
    </row>
    <row r="178" spans="2:10" ht="16">
      <c r="B178" s="25" t="s">
        <v>58</v>
      </c>
      <c r="C178" s="25" t="s">
        <v>6</v>
      </c>
      <c r="D178" s="25" t="s">
        <v>7</v>
      </c>
      <c r="E178" s="25" t="s">
        <v>305</v>
      </c>
      <c r="F178" s="25" t="s">
        <v>306</v>
      </c>
      <c r="G178" s="25" t="s">
        <v>289</v>
      </c>
      <c r="H178" s="25" t="s">
        <v>11</v>
      </c>
      <c r="I178" s="28">
        <v>490.9</v>
      </c>
      <c r="J178" s="28">
        <v>3194.81</v>
      </c>
    </row>
    <row r="179" spans="2:10" ht="16">
      <c r="B179" s="25" t="s">
        <v>307</v>
      </c>
      <c r="C179" s="25" t="s">
        <v>6</v>
      </c>
      <c r="D179" s="25" t="s">
        <v>7</v>
      </c>
      <c r="E179" s="25" t="s">
        <v>308</v>
      </c>
      <c r="F179" s="25" t="s">
        <v>309</v>
      </c>
      <c r="G179" s="25" t="s">
        <v>289</v>
      </c>
      <c r="H179" s="25" t="s">
        <v>11</v>
      </c>
      <c r="I179" s="28">
        <v>179.74</v>
      </c>
      <c r="J179" s="28">
        <v>3374.55</v>
      </c>
    </row>
    <row r="180" spans="2:10" ht="16">
      <c r="B180" s="25" t="s">
        <v>310</v>
      </c>
      <c r="C180" s="25" t="s">
        <v>6</v>
      </c>
      <c r="D180" s="25" t="s">
        <v>7</v>
      </c>
      <c r="E180" s="25" t="s">
        <v>311</v>
      </c>
      <c r="F180" s="25" t="s">
        <v>312</v>
      </c>
      <c r="G180" s="25" t="s">
        <v>289</v>
      </c>
      <c r="H180" s="25" t="s">
        <v>11</v>
      </c>
      <c r="I180" s="28">
        <v>674.26</v>
      </c>
      <c r="J180" s="28">
        <v>4048.8100000000004</v>
      </c>
    </row>
    <row r="181" spans="2:10" ht="16">
      <c r="B181" s="25" t="s">
        <v>255</v>
      </c>
      <c r="C181" s="25" t="s">
        <v>6</v>
      </c>
      <c r="D181" s="25" t="s">
        <v>7</v>
      </c>
      <c r="E181" s="25" t="s">
        <v>297</v>
      </c>
      <c r="F181" s="25" t="s">
        <v>313</v>
      </c>
      <c r="G181" s="25" t="s">
        <v>289</v>
      </c>
      <c r="H181" s="25" t="s">
        <v>11</v>
      </c>
      <c r="I181" s="28">
        <v>400.0</v>
      </c>
      <c r="J181" s="28">
        <v>4448.81</v>
      </c>
    </row>
    <row r="182" spans="2:10" ht="16">
      <c r="B182" s="25" t="s">
        <v>260</v>
      </c>
      <c r="C182" s="25" t="s">
        <v>6</v>
      </c>
      <c r="D182" s="25" t="s">
        <v>7</v>
      </c>
      <c r="E182" s="25" t="s">
        <v>297</v>
      </c>
      <c r="F182" s="25" t="s">
        <v>314</v>
      </c>
      <c r="G182" s="25" t="s">
        <v>289</v>
      </c>
      <c r="H182" s="25" t="s">
        <v>11</v>
      </c>
      <c r="I182" s="28">
        <v>400.0</v>
      </c>
      <c r="J182" s="28">
        <v>4848.81</v>
      </c>
    </row>
    <row r="183" spans="2:10" ht="16">
      <c r="B183" s="25" t="s">
        <v>104</v>
      </c>
      <c r="C183" s="25" t="s">
        <v>6</v>
      </c>
      <c r="D183" s="25" t="s">
        <v>7</v>
      </c>
      <c r="E183" s="25" t="s">
        <v>291</v>
      </c>
      <c r="F183" s="25" t="s">
        <v>315</v>
      </c>
      <c r="G183" s="25" t="s">
        <v>289</v>
      </c>
      <c r="H183" s="25" t="s">
        <v>11</v>
      </c>
      <c r="I183" s="28">
        <v>514.56</v>
      </c>
      <c r="J183" s="28">
        <v>5363.370000000001</v>
      </c>
    </row>
    <row r="184" spans="2:10" ht="16">
      <c r="B184" s="25" t="s">
        <v>193</v>
      </c>
      <c r="C184" s="25" t="s">
        <v>6</v>
      </c>
      <c r="D184" s="25" t="s">
        <v>7</v>
      </c>
      <c r="E184" s="25" t="s">
        <v>316</v>
      </c>
      <c r="F184" s="25" t="s">
        <v>317</v>
      </c>
      <c r="G184" s="25" t="s">
        <v>289</v>
      </c>
      <c r="H184" s="25" t="s">
        <v>11</v>
      </c>
      <c r="I184" s="28">
        <v>495.0</v>
      </c>
      <c r="J184" s="28">
        <v>5858.370000000001</v>
      </c>
    </row>
    <row r="185" spans="1:9" ht="16">
      <c r="A185" s="35" t="s">
        <v>318</v>
      </c>
      <c r="I185" s="29">
        <f>I168+I169+I170+I171+I172+I173+I174+I175+I176+I177+I178+I179+I180+I181+I182+I183+I184</f>
        <v>5858.370000000001</v>
      </c>
    </row>
    <row r="186" spans="1:1" ht="16">
      <c r="A186" s="34" t="s">
        <v>319</v>
      </c>
    </row>
    <row r="187" spans="2:10" ht="16">
      <c r="B187" s="25" t="s">
        <v>320</v>
      </c>
      <c r="C187" s="25" t="s">
        <v>6</v>
      </c>
      <c r="D187" s="25" t="s">
        <v>7</v>
      </c>
      <c r="E187" s="25" t="s">
        <v>321</v>
      </c>
      <c r="F187" s="25" t="s">
        <v>322</v>
      </c>
      <c r="G187" s="25" t="s">
        <v>323</v>
      </c>
      <c r="H187" s="25" t="s">
        <v>11</v>
      </c>
      <c r="I187" s="28">
        <v>7585.26</v>
      </c>
      <c r="J187" s="28">
        <v>7585.26</v>
      </c>
    </row>
    <row r="188" spans="2:10" ht="16">
      <c r="B188" s="25" t="s">
        <v>324</v>
      </c>
      <c r="C188" s="25" t="s">
        <v>6</v>
      </c>
      <c r="D188" s="25" t="s">
        <v>7</v>
      </c>
      <c r="E188" s="25" t="s">
        <v>325</v>
      </c>
      <c r="F188" s="25" t="s">
        <v>326</v>
      </c>
      <c r="G188" s="25" t="s">
        <v>323</v>
      </c>
      <c r="H188" s="25" t="s">
        <v>327</v>
      </c>
      <c r="I188" s="28">
        <v>17985.0</v>
      </c>
      <c r="J188" s="28">
        <v>25570.260000000002</v>
      </c>
    </row>
    <row r="189" spans="2:10" ht="16">
      <c r="B189" s="25" t="s">
        <v>328</v>
      </c>
      <c r="C189" s="25" t="s">
        <v>6</v>
      </c>
      <c r="D189" s="25" t="s">
        <v>7</v>
      </c>
      <c r="E189" s="25" t="s">
        <v>325</v>
      </c>
      <c r="F189" s="25" t="s">
        <v>329</v>
      </c>
      <c r="G189" s="25" t="s">
        <v>323</v>
      </c>
      <c r="H189" s="25" t="s">
        <v>327</v>
      </c>
      <c r="I189" s="28">
        <v>28775.8</v>
      </c>
      <c r="J189" s="28">
        <v>54346.06</v>
      </c>
    </row>
    <row r="190" spans="2:10" ht="16">
      <c r="B190" s="25" t="s">
        <v>330</v>
      </c>
      <c r="C190" s="25" t="s">
        <v>6</v>
      </c>
      <c r="D190" s="25" t="s">
        <v>7</v>
      </c>
      <c r="E190" s="25" t="s">
        <v>331</v>
      </c>
      <c r="F190" s="25" t="s">
        <v>332</v>
      </c>
      <c r="G190" s="25" t="s">
        <v>323</v>
      </c>
      <c r="H190" s="25" t="s">
        <v>11</v>
      </c>
      <c r="I190" s="28">
        <v>2125.17</v>
      </c>
      <c r="J190" s="28">
        <v>56471.229999999996</v>
      </c>
    </row>
    <row r="191" spans="2:10" ht="16">
      <c r="B191" s="25" t="s">
        <v>330</v>
      </c>
      <c r="C191" s="25" t="s">
        <v>206</v>
      </c>
      <c r="D191" s="25" t="s">
        <v>207</v>
      </c>
      <c r="E191" s="25" t="s">
        <v>333</v>
      </c>
      <c r="F191" s="25" t="s">
        <v>334</v>
      </c>
      <c r="G191" s="25" t="s">
        <v>323</v>
      </c>
      <c r="H191" s="25" t="s">
        <v>11</v>
      </c>
      <c r="I191" s="28">
        <v>-6787.25</v>
      </c>
      <c r="J191" s="28">
        <v>49683.979999999996</v>
      </c>
    </row>
    <row r="192" spans="2:10" ht="16">
      <c r="B192" s="25" t="s">
        <v>40</v>
      </c>
      <c r="C192" s="25" t="s">
        <v>6</v>
      </c>
      <c r="D192" s="25" t="s">
        <v>7</v>
      </c>
      <c r="E192" s="25" t="s">
        <v>331</v>
      </c>
      <c r="F192" s="25" t="s">
        <v>335</v>
      </c>
      <c r="G192" s="25" t="s">
        <v>323</v>
      </c>
      <c r="H192" s="25" t="s">
        <v>11</v>
      </c>
      <c r="I192" s="28">
        <v>1982.88</v>
      </c>
      <c r="J192" s="28">
        <v>51666.85999999999</v>
      </c>
    </row>
    <row r="193" spans="2:10" ht="16">
      <c r="B193" s="25" t="s">
        <v>42</v>
      </c>
      <c r="C193" s="25" t="s">
        <v>6</v>
      </c>
      <c r="D193" s="25" t="s">
        <v>7</v>
      </c>
      <c r="E193" s="25" t="s">
        <v>331</v>
      </c>
      <c r="F193" s="25" t="s">
        <v>336</v>
      </c>
      <c r="G193" s="25" t="s">
        <v>323</v>
      </c>
      <c r="H193" s="25" t="s">
        <v>11</v>
      </c>
      <c r="I193" s="28">
        <v>1510.38</v>
      </c>
      <c r="J193" s="28">
        <v>53177.23999999999</v>
      </c>
    </row>
    <row r="194" spans="2:10" ht="16">
      <c r="B194" s="25" t="s">
        <v>162</v>
      </c>
      <c r="C194" s="25" t="s">
        <v>6</v>
      </c>
      <c r="D194" s="25" t="s">
        <v>7</v>
      </c>
      <c r="E194" s="25" t="s">
        <v>331</v>
      </c>
      <c r="F194" s="25" t="s">
        <v>337</v>
      </c>
      <c r="G194" s="25" t="s">
        <v>323</v>
      </c>
      <c r="H194" s="25" t="s">
        <v>11</v>
      </c>
      <c r="I194" s="28">
        <v>1005.75</v>
      </c>
      <c r="J194" s="28">
        <v>54182.98999999999</v>
      </c>
    </row>
    <row r="195" spans="2:10" ht="16">
      <c r="B195" s="25" t="s">
        <v>44</v>
      </c>
      <c r="C195" s="25" t="s">
        <v>6</v>
      </c>
      <c r="D195" s="25" t="s">
        <v>7</v>
      </c>
      <c r="E195" s="25" t="s">
        <v>331</v>
      </c>
      <c r="F195" s="25" t="s">
        <v>338</v>
      </c>
      <c r="G195" s="25" t="s">
        <v>323</v>
      </c>
      <c r="H195" s="25" t="s">
        <v>11</v>
      </c>
      <c r="I195" s="28">
        <v>4740.45</v>
      </c>
      <c r="J195" s="28">
        <v>58923.43999999999</v>
      </c>
    </row>
    <row r="196" spans="2:10" ht="16">
      <c r="B196" s="25" t="s">
        <v>44</v>
      </c>
      <c r="C196" s="25" t="s">
        <v>6</v>
      </c>
      <c r="D196" s="25" t="s">
        <v>7</v>
      </c>
      <c r="E196" s="25" t="s">
        <v>321</v>
      </c>
      <c r="F196" s="25" t="s">
        <v>339</v>
      </c>
      <c r="G196" s="25" t="s">
        <v>323</v>
      </c>
      <c r="H196" s="25" t="s">
        <v>11</v>
      </c>
      <c r="I196" s="28">
        <v>8141.36</v>
      </c>
      <c r="J196" s="28">
        <v>67064.79999999999</v>
      </c>
    </row>
    <row r="197" spans="2:10" ht="16">
      <c r="B197" s="25" t="s">
        <v>46</v>
      </c>
      <c r="C197" s="25" t="s">
        <v>6</v>
      </c>
      <c r="D197" s="25" t="s">
        <v>7</v>
      </c>
      <c r="E197" s="25" t="s">
        <v>331</v>
      </c>
      <c r="F197" s="25" t="s">
        <v>340</v>
      </c>
      <c r="G197" s="25" t="s">
        <v>323</v>
      </c>
      <c r="H197" s="25" t="s">
        <v>11</v>
      </c>
      <c r="I197" s="28">
        <v>1326.38</v>
      </c>
      <c r="J197" s="28">
        <v>68391.18</v>
      </c>
    </row>
    <row r="198" spans="2:10" ht="16">
      <c r="B198" s="25" t="s">
        <v>50</v>
      </c>
      <c r="C198" s="25" t="s">
        <v>6</v>
      </c>
      <c r="D198" s="25" t="s">
        <v>7</v>
      </c>
      <c r="E198" s="25" t="s">
        <v>325</v>
      </c>
      <c r="F198" s="25" t="s">
        <v>341</v>
      </c>
      <c r="G198" s="25" t="s">
        <v>323</v>
      </c>
      <c r="H198" s="25" t="s">
        <v>327</v>
      </c>
      <c r="I198" s="28">
        <v>42912.69</v>
      </c>
      <c r="J198" s="28">
        <v>111303.87</v>
      </c>
    </row>
    <row r="199" spans="2:10" ht="16">
      <c r="B199" s="25" t="s">
        <v>52</v>
      </c>
      <c r="C199" s="25" t="s">
        <v>6</v>
      </c>
      <c r="D199" s="25" t="s">
        <v>7</v>
      </c>
      <c r="E199" s="25" t="s">
        <v>331</v>
      </c>
      <c r="F199" s="25" t="s">
        <v>342</v>
      </c>
      <c r="G199" s="25" t="s">
        <v>323</v>
      </c>
      <c r="H199" s="25" t="s">
        <v>11</v>
      </c>
      <c r="I199" s="28">
        <v>1259.23</v>
      </c>
      <c r="J199" s="28">
        <v>112563.09999999999</v>
      </c>
    </row>
    <row r="200" spans="2:10" ht="16">
      <c r="B200" s="25" t="s">
        <v>58</v>
      </c>
      <c r="C200" s="25" t="s">
        <v>6</v>
      </c>
      <c r="D200" s="25" t="s">
        <v>7</v>
      </c>
      <c r="E200" s="25" t="s">
        <v>325</v>
      </c>
      <c r="F200" s="25" t="s">
        <v>343</v>
      </c>
      <c r="G200" s="25" t="s">
        <v>323</v>
      </c>
      <c r="H200" s="25" t="s">
        <v>327</v>
      </c>
      <c r="I200" s="28">
        <v>1544.93</v>
      </c>
      <c r="J200" s="28">
        <v>114108.02999999998</v>
      </c>
    </row>
    <row r="201" spans="2:10" ht="16">
      <c r="B201" s="25" t="s">
        <v>133</v>
      </c>
      <c r="C201" s="25" t="s">
        <v>6</v>
      </c>
      <c r="D201" s="25" t="s">
        <v>7</v>
      </c>
      <c r="E201" s="25" t="s">
        <v>321</v>
      </c>
      <c r="F201" s="25" t="s">
        <v>344</v>
      </c>
      <c r="G201" s="25" t="s">
        <v>323</v>
      </c>
      <c r="H201" s="25" t="s">
        <v>11</v>
      </c>
      <c r="I201" s="28">
        <v>9386.35</v>
      </c>
      <c r="J201" s="28">
        <v>123494.37999999999</v>
      </c>
    </row>
    <row r="202" spans="2:10" ht="16">
      <c r="B202" s="25" t="s">
        <v>240</v>
      </c>
      <c r="C202" s="25" t="s">
        <v>6</v>
      </c>
      <c r="D202" s="25" t="s">
        <v>7</v>
      </c>
      <c r="E202" s="25" t="s">
        <v>331</v>
      </c>
      <c r="F202" s="25" t="s">
        <v>345</v>
      </c>
      <c r="G202" s="25" t="s">
        <v>323</v>
      </c>
      <c r="H202" s="25" t="s">
        <v>11</v>
      </c>
      <c r="I202" s="28">
        <v>2225.32</v>
      </c>
      <c r="J202" s="28">
        <v>125719.7</v>
      </c>
    </row>
    <row r="203" spans="2:10" ht="16">
      <c r="B203" s="25" t="s">
        <v>346</v>
      </c>
      <c r="C203" s="25" t="s">
        <v>6</v>
      </c>
      <c r="D203" s="25" t="s">
        <v>7</v>
      </c>
      <c r="E203" s="25" t="s">
        <v>257</v>
      </c>
      <c r="F203" s="25" t="s">
        <v>347</v>
      </c>
      <c r="G203" s="25" t="s">
        <v>323</v>
      </c>
      <c r="H203" s="25" t="s">
        <v>11</v>
      </c>
      <c r="I203" s="28">
        <v>7200.0</v>
      </c>
      <c r="J203" s="28">
        <v>132919.7</v>
      </c>
    </row>
    <row r="204" spans="2:10" ht="16">
      <c r="B204" s="25" t="s">
        <v>348</v>
      </c>
      <c r="C204" s="25" t="s">
        <v>6</v>
      </c>
      <c r="D204" s="25" t="s">
        <v>7</v>
      </c>
      <c r="E204" s="25" t="s">
        <v>325</v>
      </c>
      <c r="F204" s="25" t="s">
        <v>349</v>
      </c>
      <c r="G204" s="25" t="s">
        <v>323</v>
      </c>
      <c r="H204" s="25" t="s">
        <v>327</v>
      </c>
      <c r="I204" s="28">
        <v>27724.37</v>
      </c>
      <c r="J204" s="28">
        <v>160644.07</v>
      </c>
    </row>
    <row r="205" spans="2:10" ht="16">
      <c r="B205" s="25" t="s">
        <v>78</v>
      </c>
      <c r="C205" s="25" t="s">
        <v>6</v>
      </c>
      <c r="D205" s="25" t="s">
        <v>7</v>
      </c>
      <c r="E205" s="25" t="s">
        <v>331</v>
      </c>
      <c r="F205" s="25" t="s">
        <v>350</v>
      </c>
      <c r="G205" s="25" t="s">
        <v>323</v>
      </c>
      <c r="H205" s="25" t="s">
        <v>11</v>
      </c>
      <c r="I205" s="28">
        <v>16947.18</v>
      </c>
      <c r="J205" s="28">
        <v>177591.25</v>
      </c>
    </row>
    <row r="206" spans="2:10" ht="16">
      <c r="B206" s="25" t="s">
        <v>86</v>
      </c>
      <c r="C206" s="25" t="s">
        <v>6</v>
      </c>
      <c r="D206" s="25" t="s">
        <v>7</v>
      </c>
      <c r="E206" s="25" t="s">
        <v>321</v>
      </c>
      <c r="F206" s="25" t="s">
        <v>351</v>
      </c>
      <c r="G206" s="25" t="s">
        <v>323</v>
      </c>
      <c r="H206" s="25" t="s">
        <v>11</v>
      </c>
      <c r="I206" s="28">
        <v>7957.68</v>
      </c>
      <c r="J206" s="28">
        <v>185548.93</v>
      </c>
    </row>
    <row r="207" spans="2:10" ht="16">
      <c r="B207" s="25" t="s">
        <v>352</v>
      </c>
      <c r="C207" s="25" t="s">
        <v>6</v>
      </c>
      <c r="D207" s="25" t="s">
        <v>7</v>
      </c>
      <c r="E207" s="25" t="s">
        <v>331</v>
      </c>
      <c r="F207" s="25" t="s">
        <v>353</v>
      </c>
      <c r="G207" s="25" t="s">
        <v>323</v>
      </c>
      <c r="H207" s="25" t="s">
        <v>142</v>
      </c>
      <c r="I207" s="28">
        <v>4709.5</v>
      </c>
      <c r="J207" s="28">
        <v>190258.43</v>
      </c>
    </row>
    <row r="208" spans="2:10" ht="16">
      <c r="B208" s="25" t="s">
        <v>143</v>
      </c>
      <c r="C208" s="25" t="s">
        <v>6</v>
      </c>
      <c r="D208" s="25" t="s">
        <v>7</v>
      </c>
      <c r="E208" s="25" t="s">
        <v>331</v>
      </c>
      <c r="F208" s="25" t="s">
        <v>354</v>
      </c>
      <c r="G208" s="25" t="s">
        <v>323</v>
      </c>
      <c r="H208" s="25" t="s">
        <v>142</v>
      </c>
      <c r="I208" s="28">
        <v>4456.51</v>
      </c>
      <c r="J208" s="28">
        <v>194714.94</v>
      </c>
    </row>
    <row r="209" spans="2:10" ht="16">
      <c r="B209" s="25" t="s">
        <v>355</v>
      </c>
      <c r="C209" s="25" t="s">
        <v>6</v>
      </c>
      <c r="D209" s="25" t="s">
        <v>7</v>
      </c>
      <c r="E209" s="25" t="s">
        <v>331</v>
      </c>
      <c r="F209" s="25" t="s">
        <v>356</v>
      </c>
      <c r="G209" s="25" t="s">
        <v>323</v>
      </c>
      <c r="H209" s="25" t="s">
        <v>142</v>
      </c>
      <c r="I209" s="28">
        <v>5705.71</v>
      </c>
      <c r="J209" s="28">
        <v>200420.65</v>
      </c>
    </row>
    <row r="210" spans="2:10" ht="16">
      <c r="B210" s="25" t="s">
        <v>255</v>
      </c>
      <c r="C210" s="25" t="s">
        <v>6</v>
      </c>
      <c r="D210" s="25" t="s">
        <v>7</v>
      </c>
      <c r="E210" s="25" t="s">
        <v>325</v>
      </c>
      <c r="F210" s="25" t="s">
        <v>357</v>
      </c>
      <c r="G210" s="25" t="s">
        <v>323</v>
      </c>
      <c r="H210" s="25" t="s">
        <v>327</v>
      </c>
      <c r="I210" s="28">
        <v>44271.2</v>
      </c>
      <c r="J210" s="28">
        <v>244691.84999999998</v>
      </c>
    </row>
    <row r="211" spans="2:10" ht="16">
      <c r="B211" s="25" t="s">
        <v>96</v>
      </c>
      <c r="C211" s="25" t="s">
        <v>6</v>
      </c>
      <c r="D211" s="25" t="s">
        <v>7</v>
      </c>
      <c r="E211" s="25" t="s">
        <v>331</v>
      </c>
      <c r="F211" s="25" t="s">
        <v>358</v>
      </c>
      <c r="G211" s="25" t="s">
        <v>323</v>
      </c>
      <c r="H211" s="25" t="s">
        <v>142</v>
      </c>
      <c r="I211" s="28">
        <v>2575.25</v>
      </c>
      <c r="J211" s="28">
        <v>247267.09999999998</v>
      </c>
    </row>
    <row r="212" spans="2:10" ht="16">
      <c r="B212" s="25" t="s">
        <v>359</v>
      </c>
      <c r="C212" s="25" t="s">
        <v>6</v>
      </c>
      <c r="D212" s="25" t="s">
        <v>7</v>
      </c>
      <c r="E212" s="25" t="s">
        <v>331</v>
      </c>
      <c r="F212" s="25" t="s">
        <v>360</v>
      </c>
      <c r="G212" s="25" t="s">
        <v>323</v>
      </c>
      <c r="H212" s="25" t="s">
        <v>142</v>
      </c>
      <c r="I212" s="28">
        <v>5046.2</v>
      </c>
      <c r="J212" s="28">
        <v>252313.3</v>
      </c>
    </row>
    <row r="213" spans="2:10" ht="16">
      <c r="B213" s="25" t="s">
        <v>190</v>
      </c>
      <c r="C213" s="25" t="s">
        <v>6</v>
      </c>
      <c r="D213" s="25" t="s">
        <v>7</v>
      </c>
      <c r="E213" s="25" t="s">
        <v>331</v>
      </c>
      <c r="F213" s="25" t="s">
        <v>361</v>
      </c>
      <c r="G213" s="25" t="s">
        <v>323</v>
      </c>
      <c r="H213" s="25" t="s">
        <v>142</v>
      </c>
      <c r="I213" s="28">
        <v>5224.91</v>
      </c>
      <c r="J213" s="28">
        <v>257538.21</v>
      </c>
    </row>
    <row r="214" spans="2:10" ht="16">
      <c r="B214" s="25" t="s">
        <v>145</v>
      </c>
      <c r="C214" s="25" t="s">
        <v>6</v>
      </c>
      <c r="D214" s="25" t="s">
        <v>7</v>
      </c>
      <c r="E214" s="25" t="s">
        <v>331</v>
      </c>
      <c r="F214" s="25" t="s">
        <v>362</v>
      </c>
      <c r="G214" s="25" t="s">
        <v>323</v>
      </c>
      <c r="H214" s="25" t="s">
        <v>11</v>
      </c>
      <c r="I214" s="28">
        <v>916.98</v>
      </c>
      <c r="J214" s="28">
        <v>258455.19</v>
      </c>
    </row>
    <row r="215" spans="2:10" ht="16">
      <c r="B215" s="25" t="s">
        <v>363</v>
      </c>
      <c r="C215" s="25" t="s">
        <v>6</v>
      </c>
      <c r="D215" s="25" t="s">
        <v>7</v>
      </c>
      <c r="E215" s="25" t="s">
        <v>321</v>
      </c>
      <c r="F215" s="25" t="s">
        <v>364</v>
      </c>
      <c r="G215" s="25" t="s">
        <v>323</v>
      </c>
      <c r="H215" s="25" t="s">
        <v>11</v>
      </c>
      <c r="I215" s="28">
        <v>11243.19</v>
      </c>
      <c r="J215" s="28">
        <v>269698.38</v>
      </c>
    </row>
    <row r="216" spans="2:10" ht="16">
      <c r="B216" s="25" t="s">
        <v>271</v>
      </c>
      <c r="C216" s="25" t="s">
        <v>6</v>
      </c>
      <c r="D216" s="25" t="s">
        <v>7</v>
      </c>
      <c r="E216" s="25" t="s">
        <v>331</v>
      </c>
      <c r="F216" s="25" t="s">
        <v>365</v>
      </c>
      <c r="G216" s="25" t="s">
        <v>323</v>
      </c>
      <c r="H216" s="25" t="s">
        <v>11</v>
      </c>
      <c r="I216" s="28">
        <v>5565.89</v>
      </c>
      <c r="J216" s="28">
        <v>275264.27</v>
      </c>
    </row>
    <row r="217" spans="2:10" ht="16">
      <c r="B217" s="25" t="s">
        <v>274</v>
      </c>
      <c r="C217" s="25" t="s">
        <v>6</v>
      </c>
      <c r="D217" s="25" t="s">
        <v>7</v>
      </c>
      <c r="E217" s="25" t="s">
        <v>331</v>
      </c>
      <c r="F217" s="25" t="s">
        <v>366</v>
      </c>
      <c r="G217" s="25" t="s">
        <v>323</v>
      </c>
      <c r="H217" s="25" t="s">
        <v>142</v>
      </c>
      <c r="I217" s="28">
        <v>5025.97</v>
      </c>
      <c r="J217" s="28">
        <v>280290.24</v>
      </c>
    </row>
    <row r="218" spans="2:10" ht="16">
      <c r="B218" s="25" t="s">
        <v>112</v>
      </c>
      <c r="C218" s="25" t="s">
        <v>6</v>
      </c>
      <c r="D218" s="25" t="s">
        <v>7</v>
      </c>
      <c r="E218" s="25" t="s">
        <v>331</v>
      </c>
      <c r="F218" s="25" t="s">
        <v>367</v>
      </c>
      <c r="G218" s="25" t="s">
        <v>323</v>
      </c>
      <c r="H218" s="25" t="s">
        <v>142</v>
      </c>
      <c r="I218" s="28">
        <v>3853.71</v>
      </c>
      <c r="J218" s="28">
        <v>284143.95</v>
      </c>
    </row>
    <row r="219" spans="2:10" ht="16">
      <c r="B219" s="25" t="s">
        <v>112</v>
      </c>
      <c r="C219" s="25" t="s">
        <v>6</v>
      </c>
      <c r="D219" s="25" t="s">
        <v>7</v>
      </c>
      <c r="E219" s="25" t="s">
        <v>325</v>
      </c>
      <c r="F219" s="25" t="s">
        <v>368</v>
      </c>
      <c r="G219" s="25" t="s">
        <v>323</v>
      </c>
      <c r="H219" s="25" t="s">
        <v>327</v>
      </c>
      <c r="I219" s="28">
        <v>71562.65</v>
      </c>
      <c r="J219" s="28">
        <v>355706.6</v>
      </c>
    </row>
    <row r="220" spans="2:10" ht="16">
      <c r="B220" s="25" t="s">
        <v>279</v>
      </c>
      <c r="C220" s="25" t="s">
        <v>6</v>
      </c>
      <c r="D220" s="25" t="s">
        <v>7</v>
      </c>
      <c r="E220" s="25" t="s">
        <v>257</v>
      </c>
      <c r="F220" s="25" t="s">
        <v>281</v>
      </c>
      <c r="G220" s="25" t="s">
        <v>323</v>
      </c>
      <c r="H220" s="25" t="s">
        <v>11</v>
      </c>
      <c r="I220" s="28">
        <v>7669.86</v>
      </c>
      <c r="J220" s="28">
        <v>363376.45999999996</v>
      </c>
    </row>
    <row r="221" spans="2:10" ht="16">
      <c r="B221" s="25" t="s">
        <v>279</v>
      </c>
      <c r="C221" s="25" t="s">
        <v>6</v>
      </c>
      <c r="D221" s="25" t="s">
        <v>7</v>
      </c>
      <c r="E221" s="25" t="s">
        <v>257</v>
      </c>
      <c r="F221" s="25" t="s">
        <v>369</v>
      </c>
      <c r="G221" s="25" t="s">
        <v>323</v>
      </c>
      <c r="H221" s="25" t="s">
        <v>11</v>
      </c>
      <c r="I221" s="28">
        <v>521.25</v>
      </c>
      <c r="J221" s="28">
        <v>363897.70999999996</v>
      </c>
    </row>
    <row r="222" spans="2:10" ht="16">
      <c r="B222" s="25" t="s">
        <v>279</v>
      </c>
      <c r="C222" s="25" t="s">
        <v>6</v>
      </c>
      <c r="D222" s="25" t="s">
        <v>7</v>
      </c>
      <c r="E222" s="25" t="s">
        <v>257</v>
      </c>
      <c r="F222" s="25" t="s">
        <v>370</v>
      </c>
      <c r="G222" s="25" t="s">
        <v>323</v>
      </c>
      <c r="H222" s="25" t="s">
        <v>11</v>
      </c>
      <c r="I222" s="28">
        <v>68.66</v>
      </c>
      <c r="J222" s="28">
        <v>363966.36999999994</v>
      </c>
    </row>
    <row r="223" spans="2:10" ht="16">
      <c r="B223" s="25" t="s">
        <v>371</v>
      </c>
      <c r="C223" s="25" t="s">
        <v>6</v>
      </c>
      <c r="D223" s="25" t="s">
        <v>7</v>
      </c>
      <c r="E223" s="25" t="s">
        <v>321</v>
      </c>
      <c r="F223" s="25" t="s">
        <v>372</v>
      </c>
      <c r="G223" s="25" t="s">
        <v>323</v>
      </c>
      <c r="H223" s="25" t="s">
        <v>11</v>
      </c>
      <c r="I223" s="28">
        <v>20000.0</v>
      </c>
      <c r="J223" s="28">
        <v>383966.36999999994</v>
      </c>
    </row>
    <row r="224" spans="1:9" ht="16">
      <c r="A224" s="35" t="s">
        <v>373</v>
      </c>
      <c r="I224" s="29">
        <f>I186+I187+I188+I189+I190+I191+I192+I193+I194+I195+I196+I197+I198+I199+I200+I201+I202+I203+I204+I205+I206+I207+I208+I209+I210+I211+I212+I213+I214+I215+I216+I217+I218+I219+I220+I221+I222+I223</f>
        <v>383966.36999999994</v>
      </c>
    </row>
    <row r="225" spans="1:1" ht="16">
      <c r="A225" s="34" t="s">
        <v>374</v>
      </c>
    </row>
    <row r="226" spans="2:10" ht="16">
      <c r="B226" s="25" t="s">
        <v>375</v>
      </c>
      <c r="C226" s="25" t="s">
        <v>6</v>
      </c>
      <c r="D226" s="25" t="s">
        <v>7</v>
      </c>
      <c r="E226" s="25" t="s">
        <v>376</v>
      </c>
      <c r="F226" s="25" t="s">
        <v>377</v>
      </c>
      <c r="G226" s="25" t="s">
        <v>378</v>
      </c>
      <c r="H226" s="25" t="s">
        <v>11</v>
      </c>
      <c r="I226" s="28">
        <v>1772.85</v>
      </c>
      <c r="J226" s="28">
        <v>1772.85</v>
      </c>
    </row>
    <row r="227" spans="2:10" ht="16">
      <c r="B227" s="25" t="s">
        <v>379</v>
      </c>
      <c r="C227" s="25" t="s">
        <v>6</v>
      </c>
      <c r="D227" s="25" t="s">
        <v>7</v>
      </c>
      <c r="E227" s="25" t="s">
        <v>376</v>
      </c>
      <c r="F227" s="25" t="s">
        <v>380</v>
      </c>
      <c r="G227" s="25" t="s">
        <v>378</v>
      </c>
      <c r="H227" s="25" t="s">
        <v>11</v>
      </c>
      <c r="I227" s="28">
        <v>774.93</v>
      </c>
      <c r="J227" s="28">
        <v>2547.7799999999997</v>
      </c>
    </row>
    <row r="228" spans="2:10" ht="16">
      <c r="B228" s="25" t="s">
        <v>381</v>
      </c>
      <c r="C228" s="25" t="s">
        <v>6</v>
      </c>
      <c r="D228" s="25" t="s">
        <v>7</v>
      </c>
      <c r="E228" s="25" t="s">
        <v>376</v>
      </c>
      <c r="F228" s="25" t="s">
        <v>382</v>
      </c>
      <c r="G228" s="25" t="s">
        <v>378</v>
      </c>
      <c r="H228" s="25" t="s">
        <v>11</v>
      </c>
      <c r="I228" s="28">
        <v>1361.73</v>
      </c>
      <c r="J228" s="28">
        <v>3909.5099999999998</v>
      </c>
    </row>
    <row r="229" spans="2:10" ht="16">
      <c r="B229" s="25" t="s">
        <v>307</v>
      </c>
      <c r="C229" s="25" t="s">
        <v>6</v>
      </c>
      <c r="D229" s="25" t="s">
        <v>7</v>
      </c>
      <c r="E229" s="25" t="s">
        <v>383</v>
      </c>
      <c r="F229" s="25" t="s">
        <v>384</v>
      </c>
      <c r="G229" s="25" t="s">
        <v>378</v>
      </c>
      <c r="H229" s="25" t="s">
        <v>385</v>
      </c>
      <c r="I229" s="28">
        <v>1354.59</v>
      </c>
      <c r="J229" s="28">
        <v>5264.099999999999</v>
      </c>
    </row>
    <row r="230" spans="2:10" ht="16">
      <c r="B230" s="25" t="s">
        <v>386</v>
      </c>
      <c r="C230" s="25" t="s">
        <v>6</v>
      </c>
      <c r="D230" s="25" t="s">
        <v>7</v>
      </c>
      <c r="E230" s="25" t="s">
        <v>376</v>
      </c>
      <c r="F230" s="25" t="s">
        <v>387</v>
      </c>
      <c r="G230" s="25" t="s">
        <v>378</v>
      </c>
      <c r="H230" s="25" t="s">
        <v>11</v>
      </c>
      <c r="I230" s="28">
        <v>1188.16</v>
      </c>
      <c r="J230" s="28">
        <v>6452.259999999999</v>
      </c>
    </row>
    <row r="231" spans="2:10" ht="16">
      <c r="B231" s="25" t="s">
        <v>98</v>
      </c>
      <c r="C231" s="25" t="s">
        <v>6</v>
      </c>
      <c r="D231" s="25" t="s">
        <v>7</v>
      </c>
      <c r="E231" s="25" t="s">
        <v>376</v>
      </c>
      <c r="F231" s="25" t="s">
        <v>388</v>
      </c>
      <c r="G231" s="25" t="s">
        <v>378</v>
      </c>
      <c r="H231" s="25" t="s">
        <v>11</v>
      </c>
      <c r="I231" s="28">
        <v>1471.3</v>
      </c>
      <c r="J231" s="28">
        <v>7923.5599999999995</v>
      </c>
    </row>
    <row r="232" spans="2:10" ht="16">
      <c r="B232" s="25" t="s">
        <v>389</v>
      </c>
      <c r="C232" s="25" t="s">
        <v>6</v>
      </c>
      <c r="D232" s="25" t="s">
        <v>7</v>
      </c>
      <c r="E232" s="25" t="s">
        <v>376</v>
      </c>
      <c r="F232" s="25" t="s">
        <v>390</v>
      </c>
      <c r="G232" s="25" t="s">
        <v>378</v>
      </c>
      <c r="H232" s="25" t="s">
        <v>11</v>
      </c>
      <c r="I232" s="28">
        <v>1142.16</v>
      </c>
      <c r="J232" s="28">
        <v>9065.72</v>
      </c>
    </row>
    <row r="233" spans="1:9" ht="16">
      <c r="A233" s="35" t="s">
        <v>391</v>
      </c>
      <c r="I233" s="29">
        <f>I225+I226+I227+I228+I229+I230+I231+I232</f>
        <v>9065.72</v>
      </c>
    </row>
    <row r="234" spans="1:9" ht="16">
      <c r="A234" s="36" t="s">
        <v>392</v>
      </c>
      <c r="I234" s="29">
        <f>I62+I84+I111+I118+I167+I185+I224+I233</f>
        <v>1293831.5999999999</v>
      </c>
    </row>
    <row r="235" spans="1:9" ht="16">
      <c r="A235" s="37" t="s">
        <v>393</v>
      </c>
      <c r="I235" s="29">
        <f>I234</f>
        <v>1293831.5999999999</v>
      </c>
    </row>
    <row r="239" spans="1:1" ht="16">
      <c r="A239" s="38" t="s">
        <v>403</v>
      </c>
    </row>
  </sheetData>
  <mergeCells count="4">
    <mergeCell ref="A1:I1"/>
    <mergeCell ref="A2:I2"/>
    <mergeCell ref="A3:I3"/>
    <mergeCell ref="A239:I23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
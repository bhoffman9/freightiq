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8" i="1" l="1"/>
</calcChain>
</file>

<file path=xl/sharedStrings.xml><?xml version="1.0" encoding="utf-8"?>
<sst xmlns="http://schemas.openxmlformats.org/spreadsheetml/2006/main" count="121" uniqueCount="121">
  <si>
    <t>Profit and Loss</t>
  </si>
  <si>
    <t>CE &amp; SF Combined</t>
  </si>
  <si>
    <t>January 1-April 6, 2026</t>
  </si>
  <si>
    <t>Income</t>
  </si>
  <si>
    <t>CE East Revenue</t>
  </si>
  <si>
    <t>CE Revenue</t>
  </si>
  <si>
    <t>DI Revenue</t>
  </si>
  <si>
    <t>SF Revenue</t>
  </si>
  <si>
    <t>Total for Income</t>
  </si>
  <si>
    <t>Cost of Goods Sold</t>
  </si>
  <si>
    <t>Carrier Pay</t>
  </si>
  <si>
    <t>Flexent Funding Fees</t>
  </si>
  <si>
    <t>Triumph Merchant Fees</t>
  </si>
  <si>
    <t>Total for Cost of Goods Sold</t>
  </si>
  <si>
    <t>Gross Profit</t>
  </si>
  <si>
    <t>Expenses</t>
  </si>
  <si>
    <t>Advertising &amp; Marketing</t>
  </si>
  <si>
    <t>Agio Gel Expenses</t>
  </si>
  <si>
    <t>Asset Loan Payments</t>
  </si>
  <si>
    <t>2025 Cadillac Escalade</t>
  </si>
  <si>
    <t>Bank of America - Range Rover</t>
  </si>
  <si>
    <t>Forklift</t>
  </si>
  <si>
    <t>MBFS - Sprinter</t>
  </si>
  <si>
    <t>Total for Asset Loan Payments</t>
  </si>
  <si>
    <t>Bad Debt Expense</t>
  </si>
  <si>
    <t>Atlus - Heffernan</t>
  </si>
  <si>
    <t>Atlus - Toyota</t>
  </si>
  <si>
    <t>Sloan Terminal Settlement</t>
  </si>
  <si>
    <t>Total for Bad Debt Expense</t>
  </si>
  <si>
    <t>Bank Charges &amp; Fees</t>
  </si>
  <si>
    <t>Business Licensing</t>
  </si>
  <si>
    <t>Capacity Express East</t>
  </si>
  <si>
    <t>Commissions - CE East</t>
  </si>
  <si>
    <t>Computer &amp; Software - CE East</t>
  </si>
  <si>
    <t>Employee Loan - CE East</t>
  </si>
  <si>
    <t>Meals &amp; Entertainment - CE East</t>
  </si>
  <si>
    <t>Office Rent - CE East</t>
  </si>
  <si>
    <t>Office Supplies &amp; Materials</t>
  </si>
  <si>
    <t>Partner Contribution - Repayment</t>
  </si>
  <si>
    <t>Salaries &amp; Wages - CE East</t>
  </si>
  <si>
    <t>Travel Expenses - CE East</t>
  </si>
  <si>
    <t>Flights - CE East</t>
  </si>
  <si>
    <t>Hotel &amp; Lodging - CE East</t>
  </si>
  <si>
    <t>UBER/Rideshare/Rentals - CE East</t>
  </si>
  <si>
    <t>Total for Travel Expenses - CE East</t>
  </si>
  <si>
    <t>Total for Capacity Express East</t>
  </si>
  <si>
    <t>Cat Scale</t>
  </si>
  <si>
    <t>Charitable Donations</t>
  </si>
  <si>
    <t>Computer &amp; Software</t>
  </si>
  <si>
    <t>Cost of Labor</t>
  </si>
  <si>
    <t>Owner Operators</t>
  </si>
  <si>
    <t>Total for Cost of Labor</t>
  </si>
  <si>
    <t>Dues &amp; Subscriptions</t>
  </si>
  <si>
    <t>Employee Loans</t>
  </si>
  <si>
    <t>Equipment Rentals</t>
  </si>
  <si>
    <t>Gas</t>
  </si>
  <si>
    <t>Insurance</t>
  </si>
  <si>
    <t>5Seven5 Insurance</t>
  </si>
  <si>
    <t>Building Insurance</t>
  </si>
  <si>
    <t>Car Insurance</t>
  </si>
  <si>
    <t>CE East Freight Insurance</t>
  </si>
  <si>
    <t>CE Freight Insurance</t>
  </si>
  <si>
    <t>Health Insurance</t>
  </si>
  <si>
    <t>Worker's Compensation Insurance</t>
  </si>
  <si>
    <t>Total for Insurance</t>
  </si>
  <si>
    <t>Interest Expense</t>
  </si>
  <si>
    <t>Legal and Professional Fees</t>
  </si>
  <si>
    <t>Accounting/Tax Expenses</t>
  </si>
  <si>
    <t>ATM Withdrawal</t>
  </si>
  <si>
    <t>EvanLee</t>
  </si>
  <si>
    <t>Lawyers</t>
  </si>
  <si>
    <t>Total for Legal and Professional Fees</t>
  </si>
  <si>
    <t>License/Fees/Penalties</t>
  </si>
  <si>
    <t>Meals &amp; Entertainment</t>
  </si>
  <si>
    <t>Owners Draw</t>
  </si>
  <si>
    <t>Owner Purchases</t>
  </si>
  <si>
    <t>Owners Distributions</t>
  </si>
  <si>
    <t>Personal Tax Expense</t>
  </si>
  <si>
    <t>Total for Owners Draw</t>
  </si>
  <si>
    <t>Reimbursements</t>
  </si>
  <si>
    <t>Rent/Lease of Building</t>
  </si>
  <si>
    <t>Repair &amp; Maintenance</t>
  </si>
  <si>
    <t>Salaries and Wages</t>
  </si>
  <si>
    <t>401(k) Expense</t>
  </si>
  <si>
    <t>Child Support Payments</t>
  </si>
  <si>
    <t>Contractor Payroll</t>
  </si>
  <si>
    <t>Payroll Taxes</t>
  </si>
  <si>
    <t>Modified Business Tax</t>
  </si>
  <si>
    <t>Unemployment Tax</t>
  </si>
  <si>
    <t>Total for Payroll Taxes</t>
  </si>
  <si>
    <t>Salaries &amp; Wages - Drivers</t>
  </si>
  <si>
    <t>Salaries &amp; Wages - Office</t>
  </si>
  <si>
    <t>Total for Salaries and Wages</t>
  </si>
  <si>
    <t>Supplies and Materials</t>
  </si>
  <si>
    <t>Travel Expenses</t>
  </si>
  <si>
    <t>Flights</t>
  </si>
  <si>
    <t>Hotel/Lodging</t>
  </si>
  <si>
    <t>UBER/Rideshare/Rentals</t>
  </si>
  <si>
    <t>Total for Travel Expenses</t>
  </si>
  <si>
    <t>Truck/Trailer</t>
  </si>
  <si>
    <t>Fuel</t>
  </si>
  <si>
    <t>SF Truck Insurance</t>
  </si>
  <si>
    <t>Storage/Parking</t>
  </si>
  <si>
    <t>Trailer Maintenance</t>
  </si>
  <si>
    <t>Trailer Rentals</t>
  </si>
  <si>
    <t>Truck Maintenance</t>
  </si>
  <si>
    <t>Truck Rentals</t>
  </si>
  <si>
    <t>Worker Uniforms</t>
  </si>
  <si>
    <t>Total for Truck/Trailer</t>
  </si>
  <si>
    <t>Utilities</t>
  </si>
  <si>
    <t>Total for Expenses</t>
  </si>
  <si>
    <t>Net Operating Income</t>
  </si>
  <si>
    <t>Other Income</t>
  </si>
  <si>
    <t>Interest Income</t>
  </si>
  <si>
    <t>Triumph Withhholding</t>
  </si>
  <si>
    <t>Total for Other Income</t>
  </si>
  <si>
    <t>Net Other Income</t>
  </si>
  <si>
    <t>Net Income</t>
  </si>
  <si>
    <t/>
  </si>
  <si>
    <t>Total</t>
  </si>
  <si>
    <t>Accrual Basis Monday, April 06, 2026 07:51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</si>
</sst>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124"/>
  <sheetViews>
    <sheetView tabSelected="1" workbookViewId="0" topLeftCell="A1"/>
  </sheetViews>
  <sheetFormatPr defaultColWidth="11.255" defaultRowHeight="16"/>
  <cols>
    <col min="1" max="1" width="32.375" style="40" customWidth="1"/>
    <col min="2" max="2" width="16.125" style="40" customWidth="1"/>
  </cols>
  <sheetData>
    <row r="1" spans="1:1" ht="16">
      <c r="A1" s="29" t="s">
        <v>0</v>
      </c>
    </row>
    <row r="2" spans="1:1" ht="16">
      <c r="A2" s="30" t="s">
        <v>1</v>
      </c>
    </row>
    <row r="3" spans="1:1" ht="16">
      <c r="A3" s="31" t="s">
        <v>2</v>
      </c>
    </row>
    <row r="5" spans="1:2" ht="16">
      <c r="A5" s="42" t="s">
        <v>118</v>
      </c>
      <c r="B5" s="42" t="s">
        <v>119</v>
      </c>
    </row>
    <row r="6" spans="1:1" ht="16">
      <c r="A6" s="33" t="s">
        <v>3</v>
      </c>
    </row>
    <row r="7" spans="1:2" ht="16">
      <c r="A7" s="34" t="s">
        <v>4</v>
      </c>
      <c r="B7" s="43">
        <v>17692.01</v>
      </c>
    </row>
    <row r="8" spans="1:2" ht="16">
      <c r="A8" s="34" t="s">
        <v>5</v>
      </c>
      <c r="B8" s="43">
        <v>3785633.49</v>
      </c>
    </row>
    <row r="9" spans="1:2" ht="16">
      <c r="A9" s="34" t="s">
        <v>6</v>
      </c>
      <c r="B9" s="43">
        <v>40306.43</v>
      </c>
    </row>
    <row r="10" spans="1:2" ht="16">
      <c r="A10" s="34" t="s">
        <v>7</v>
      </c>
      <c r="B10" s="43">
        <v>1265423.74</v>
      </c>
    </row>
    <row r="11" spans="1:2" ht="16">
      <c r="A11" s="35" t="s">
        <v>8</v>
      </c>
      <c r="B11" s="44">
        <f>B7+B8+B9+B10</f>
        <v>5109055.67</v>
      </c>
    </row>
    <row r="12" spans="1:1" ht="16">
      <c r="A12" s="33" t="s">
        <v>9</v>
      </c>
    </row>
    <row r="13" spans="1:2" ht="16">
      <c r="A13" s="34" t="s">
        <v>10</v>
      </c>
      <c r="B13" s="43">
        <v>2641756.98</v>
      </c>
    </row>
    <row r="14" spans="1:2" ht="16">
      <c r="A14" s="34" t="s">
        <v>11</v>
      </c>
      <c r="B14" s="43">
        <v>5170.29</v>
      </c>
    </row>
    <row r="15" spans="1:2" ht="16">
      <c r="A15" s="34" t="s">
        <v>12</v>
      </c>
      <c r="B15" s="43">
        <v>55079.6</v>
      </c>
    </row>
    <row r="16" spans="1:2" ht="16">
      <c r="A16" s="35" t="s">
        <v>13</v>
      </c>
      <c r="B16" s="44">
        <f>B13+B14+B15</f>
        <v>2702006.87</v>
      </c>
    </row>
    <row r="17" spans="1:2" ht="16">
      <c r="A17" s="35" t="s">
        <v>14</v>
      </c>
      <c r="B17" s="44">
        <f>B11-B16</f>
        <v>2407048.8</v>
      </c>
    </row>
    <row r="18" spans="1:1" ht="16">
      <c r="A18" s="33" t="s">
        <v>15</v>
      </c>
    </row>
    <row r="19" spans="1:2" ht="16">
      <c r="A19" s="34" t="s">
        <v>16</v>
      </c>
      <c r="B19" s="43">
        <v>30826.88</v>
      </c>
    </row>
    <row r="20" spans="1:2" ht="16">
      <c r="A20" s="34" t="s">
        <v>17</v>
      </c>
      <c r="B20" s="43">
        <v>389.99</v>
      </c>
    </row>
    <row r="21" spans="1:2" ht="16">
      <c r="A21" s="34" t="s">
        <v>18</v>
      </c>
      <c r="B21" s="45"/>
    </row>
    <row r="22" spans="1:2" ht="16">
      <c r="A22" s="36" t="s">
        <v>19</v>
      </c>
      <c r="B22" s="43">
        <v>6300.0</v>
      </c>
    </row>
    <row r="23" spans="1:2" ht="16">
      <c r="A23" s="36" t="s">
        <v>20</v>
      </c>
      <c r="B23" s="43">
        <v>6076.47</v>
      </c>
    </row>
    <row r="24" spans="1:2" ht="16">
      <c r="A24" s="36" t="s">
        <v>21</v>
      </c>
      <c r="B24" s="43">
        <v>3686.49</v>
      </c>
    </row>
    <row r="25" spans="1:2" ht="16">
      <c r="A25" s="36" t="s">
        <v>22</v>
      </c>
      <c r="B25" s="43">
        <v>3863.76</v>
      </c>
    </row>
    <row r="26" spans="1:2" ht="16">
      <c r="A26" s="37" t="s">
        <v>23</v>
      </c>
      <c r="B26" s="44">
        <f>B21+B22+B23+B24+B25</f>
        <v>19926.72</v>
      </c>
    </row>
    <row r="27" spans="1:2" ht="16">
      <c r="A27" s="34" t="s">
        <v>24</v>
      </c>
      <c r="B27" s="45"/>
    </row>
    <row r="28" spans="1:2" ht="16">
      <c r="A28" s="36" t="s">
        <v>25</v>
      </c>
      <c r="B28" s="43">
        <v>3000.0</v>
      </c>
    </row>
    <row r="29" spans="1:2" ht="16">
      <c r="A29" s="36" t="s">
        <v>26</v>
      </c>
      <c r="B29" s="43">
        <v>9000.0</v>
      </c>
    </row>
    <row r="30" spans="1:2" ht="16">
      <c r="A30" s="36" t="s">
        <v>27</v>
      </c>
      <c r="B30" s="43">
        <v>59500.0</v>
      </c>
    </row>
    <row r="31" spans="1:2" ht="16">
      <c r="A31" s="37" t="s">
        <v>28</v>
      </c>
      <c r="B31" s="44">
        <f>B27+B28+B29+B30</f>
        <v>71500.0</v>
      </c>
    </row>
    <row r="32" spans="1:2" ht="16">
      <c r="A32" s="34" t="s">
        <v>29</v>
      </c>
      <c r="B32" s="43">
        <v>7253.14</v>
      </c>
    </row>
    <row r="33" spans="1:2" ht="16">
      <c r="A33" s="34" t="s">
        <v>30</v>
      </c>
      <c r="B33" s="43">
        <v>650.0</v>
      </c>
    </row>
    <row r="34" spans="1:2" ht="16">
      <c r="A34" s="34" t="s">
        <v>31</v>
      </c>
      <c r="B34" s="45"/>
    </row>
    <row r="35" spans="1:2" ht="16">
      <c r="A35" s="36" t="s">
        <v>32</v>
      </c>
      <c r="B35" s="43">
        <v>2380.75</v>
      </c>
    </row>
    <row r="36" spans="1:2" ht="16">
      <c r="A36" s="36" t="s">
        <v>33</v>
      </c>
      <c r="B36" s="43">
        <v>825.0</v>
      </c>
    </row>
    <row r="37" spans="1:2" ht="16">
      <c r="A37" s="36" t="s">
        <v>34</v>
      </c>
      <c r="B37" s="43">
        <v>13000.0</v>
      </c>
    </row>
    <row r="38" spans="1:2" ht="16">
      <c r="A38" s="36" t="s">
        <v>35</v>
      </c>
      <c r="B38" s="43">
        <v>523.11</v>
      </c>
    </row>
    <row r="39" spans="1:2" ht="16">
      <c r="A39" s="36" t="s">
        <v>36</v>
      </c>
      <c r="B39" s="43">
        <v>4390.0</v>
      </c>
    </row>
    <row r="40" spans="1:2" ht="16">
      <c r="A40" s="36" t="s">
        <v>37</v>
      </c>
      <c r="B40" s="43">
        <v>384.5</v>
      </c>
    </row>
    <row r="41" spans="1:2" ht="16">
      <c r="A41" s="36" t="s">
        <v>38</v>
      </c>
      <c r="B41" s="43">
        <v>6810.0</v>
      </c>
    </row>
    <row r="42" spans="1:2" ht="16">
      <c r="A42" s="36" t="s">
        <v>39</v>
      </c>
      <c r="B42" s="43">
        <v>28665.0</v>
      </c>
    </row>
    <row r="43" spans="1:2" ht="16">
      <c r="A43" s="36" t="s">
        <v>40</v>
      </c>
      <c r="B43" s="45"/>
    </row>
    <row r="44" spans="1:2" ht="16">
      <c r="A44" s="38" t="s">
        <v>41</v>
      </c>
      <c r="B44" s="43">
        <v>2854.98</v>
      </c>
    </row>
    <row r="45" spans="1:2" ht="16">
      <c r="A45" s="38" t="s">
        <v>42</v>
      </c>
      <c r="B45" s="43">
        <v>1031.19</v>
      </c>
    </row>
    <row r="46" spans="1:2" ht="16">
      <c r="A46" s="38" t="s">
        <v>43</v>
      </c>
      <c r="B46" s="43">
        <v>214.13</v>
      </c>
    </row>
    <row r="47" spans="1:2" ht="16">
      <c r="A47" s="39" t="s">
        <v>44</v>
      </c>
      <c r="B47" s="44">
        <f>B43+B44+B45+B46</f>
        <v>4100.3</v>
      </c>
    </row>
    <row r="48" spans="1:2" ht="16">
      <c r="A48" s="37" t="s">
        <v>45</v>
      </c>
      <c r="B48" s="44">
        <f>B34+B35+B36+B37+B38+B39+B40+B41+B42+B47</f>
        <v>61078.66</v>
      </c>
    </row>
    <row r="49" spans="1:2" ht="16">
      <c r="A49" s="34" t="s">
        <v>46</v>
      </c>
      <c r="B49" s="43">
        <v>1899.75</v>
      </c>
    </row>
    <row r="50" spans="1:2" ht="16">
      <c r="A50" s="34" t="s">
        <v>47</v>
      </c>
      <c r="B50" s="43">
        <v>2227.75</v>
      </c>
    </row>
    <row r="51" spans="1:2" ht="16">
      <c r="A51" s="34" t="s">
        <v>48</v>
      </c>
      <c r="B51" s="43">
        <v>54320.34</v>
      </c>
    </row>
    <row r="52" spans="1:2" ht="16">
      <c r="A52" s="34" t="s">
        <v>49</v>
      </c>
      <c r="B52" s="43">
        <v>2896.06</v>
      </c>
    </row>
    <row r="53" spans="1:2" ht="16">
      <c r="A53" s="36" t="s">
        <v>50</v>
      </c>
      <c r="B53" s="43">
        <v>45552.0</v>
      </c>
    </row>
    <row r="54" spans="1:2" ht="16">
      <c r="A54" s="37" t="s">
        <v>51</v>
      </c>
      <c r="B54" s="44">
        <f>B52+B53</f>
        <v>48448.06</v>
      </c>
    </row>
    <row r="55" spans="1:2" ht="16">
      <c r="A55" s="34" t="s">
        <v>52</v>
      </c>
      <c r="B55" s="43">
        <v>11114.03</v>
      </c>
    </row>
    <row r="56" spans="1:2" ht="16">
      <c r="A56" s="34" t="s">
        <v>53</v>
      </c>
      <c r="B56" s="43">
        <v>9262.52</v>
      </c>
    </row>
    <row r="57" spans="1:2" ht="16">
      <c r="A57" s="34" t="s">
        <v>54</v>
      </c>
      <c r="B57" s="43">
        <v>11586.03</v>
      </c>
    </row>
    <row r="58" spans="1:2" ht="16">
      <c r="A58" s="34" t="s">
        <v>55</v>
      </c>
      <c r="B58" s="43">
        <v>2215.87</v>
      </c>
    </row>
    <row r="59" spans="1:2" ht="16">
      <c r="A59" s="34" t="s">
        <v>56</v>
      </c>
      <c r="B59" s="45"/>
    </row>
    <row r="60" spans="1:2" ht="16">
      <c r="A60" s="36" t="s">
        <v>57</v>
      </c>
      <c r="B60" s="43">
        <v>4191.0</v>
      </c>
    </row>
    <row r="61" spans="1:2" ht="16">
      <c r="A61" s="36" t="s">
        <v>58</v>
      </c>
      <c r="B61" s="43">
        <v>1280.46</v>
      </c>
    </row>
    <row r="62" spans="1:2" ht="16">
      <c r="A62" s="36" t="s">
        <v>59</v>
      </c>
      <c r="B62" s="43">
        <v>1879.4</v>
      </c>
    </row>
    <row r="63" spans="1:2" ht="16">
      <c r="A63" s="36" t="s">
        <v>60</v>
      </c>
      <c r="B63" s="43">
        <v>5792.18</v>
      </c>
    </row>
    <row r="64" spans="1:2" ht="16">
      <c r="A64" s="36" t="s">
        <v>61</v>
      </c>
      <c r="B64" s="43">
        <v>5792.17</v>
      </c>
    </row>
    <row r="65" spans="1:2" ht="16">
      <c r="A65" s="36" t="s">
        <v>62</v>
      </c>
      <c r="B65" s="43">
        <v>20157.85</v>
      </c>
    </row>
    <row r="66" spans="1:2" ht="16">
      <c r="A66" s="36" t="s">
        <v>63</v>
      </c>
      <c r="B66" s="43">
        <v>3935.7</v>
      </c>
    </row>
    <row r="67" spans="1:2" ht="16">
      <c r="A67" s="37" t="s">
        <v>64</v>
      </c>
      <c r="B67" s="44">
        <f>B59+B60+B61+B62+B63+B64+B65+B66</f>
        <v>43028.759999999995</v>
      </c>
    </row>
    <row r="68" spans="1:2" ht="16">
      <c r="A68" s="34" t="s">
        <v>65</v>
      </c>
      <c r="B68" s="43">
        <v>8810.16</v>
      </c>
    </row>
    <row r="69" spans="1:2" ht="16">
      <c r="A69" s="34" t="s">
        <v>66</v>
      </c>
      <c r="B69" s="43">
        <v>4510.5</v>
      </c>
    </row>
    <row r="70" spans="1:2" ht="16">
      <c r="A70" s="36" t="s">
        <v>67</v>
      </c>
      <c r="B70" s="43">
        <v>1350.0</v>
      </c>
    </row>
    <row r="71" spans="1:2" ht="16">
      <c r="A71" s="36" t="s">
        <v>68</v>
      </c>
      <c r="B71" s="43">
        <v>16000.0</v>
      </c>
    </row>
    <row r="72" spans="1:2" ht="16">
      <c r="A72" s="36" t="s">
        <v>69</v>
      </c>
      <c r="B72" s="43">
        <v>3749.98</v>
      </c>
    </row>
    <row r="73" spans="1:2" ht="16">
      <c r="A73" s="36" t="s">
        <v>70</v>
      </c>
      <c r="B73" s="43">
        <v>22340.0</v>
      </c>
    </row>
    <row r="74" spans="1:2" ht="16">
      <c r="A74" s="37" t="s">
        <v>71</v>
      </c>
      <c r="B74" s="44">
        <f>B69+B70+B71+B72+B73</f>
        <v>47950.479999999996</v>
      </c>
    </row>
    <row r="75" spans="1:2" ht="16">
      <c r="A75" s="34" t="s">
        <v>72</v>
      </c>
      <c r="B75" s="43">
        <v>1848.52</v>
      </c>
    </row>
    <row r="76" spans="1:2" ht="16">
      <c r="A76" s="34" t="s">
        <v>73</v>
      </c>
      <c r="B76" s="43">
        <v>1567.51</v>
      </c>
    </row>
    <row r="77" spans="1:2" ht="16">
      <c r="A77" s="34" t="s">
        <v>74</v>
      </c>
      <c r="B77" s="45"/>
    </row>
    <row r="78" spans="1:2" ht="16">
      <c r="A78" s="36" t="s">
        <v>75</v>
      </c>
      <c r="B78" s="43">
        <v>46729.27</v>
      </c>
    </row>
    <row r="79" spans="1:2" ht="16">
      <c r="A79" s="36" t="s">
        <v>76</v>
      </c>
      <c r="B79" s="43">
        <v>108775.0</v>
      </c>
    </row>
    <row r="80" spans="1:2" ht="16">
      <c r="A80" s="36" t="s">
        <v>77</v>
      </c>
      <c r="B80" s="43">
        <v>2908.56</v>
      </c>
    </row>
    <row r="81" spans="1:2" ht="16">
      <c r="A81" s="37" t="s">
        <v>78</v>
      </c>
      <c r="B81" s="44">
        <f>B77+B78+B79+B80</f>
        <v>158412.83</v>
      </c>
    </row>
    <row r="82" spans="1:2" ht="16">
      <c r="A82" s="34" t="s">
        <v>79</v>
      </c>
      <c r="B82" s="43">
        <v>11534.48</v>
      </c>
    </row>
    <row r="83" spans="1:2" ht="16">
      <c r="A83" s="34" t="s">
        <v>80</v>
      </c>
      <c r="B83" s="43">
        <v>10000.0</v>
      </c>
    </row>
    <row r="84" spans="1:2" ht="16">
      <c r="A84" s="34" t="s">
        <v>81</v>
      </c>
      <c r="B84" s="43">
        <v>1336.4</v>
      </c>
    </row>
    <row r="85" spans="1:2" ht="16">
      <c r="A85" s="34" t="s">
        <v>82</v>
      </c>
      <c r="B85" s="45"/>
    </row>
    <row r="86" spans="1:2" ht="16">
      <c r="A86" s="36" t="s">
        <v>83</v>
      </c>
      <c r="B86" s="43">
        <v>20930.44</v>
      </c>
    </row>
    <row r="87" spans="1:2" ht="16">
      <c r="A87" s="36" t="s">
        <v>84</v>
      </c>
      <c r="B87" s="43">
        <v>2814.43</v>
      </c>
    </row>
    <row r="88" spans="1:2" ht="16">
      <c r="A88" s="36" t="s">
        <v>85</v>
      </c>
      <c r="B88" s="43">
        <v>158148.59</v>
      </c>
    </row>
    <row r="89" spans="1:2" ht="16">
      <c r="A89" s="36" t="s">
        <v>86</v>
      </c>
      <c r="B89" s="43">
        <v>153852.39</v>
      </c>
    </row>
    <row r="90" spans="1:2" ht="16">
      <c r="A90" s="38" t="s">
        <v>87</v>
      </c>
      <c r="B90" s="43">
        <v>8434.12</v>
      </c>
    </row>
    <row r="91" spans="1:2" ht="16">
      <c r="A91" s="38" t="s">
        <v>88</v>
      </c>
      <c r="B91" s="43">
        <v>22241.7</v>
      </c>
    </row>
    <row r="92" spans="1:2" ht="16">
      <c r="A92" s="39" t="s">
        <v>89</v>
      </c>
      <c r="B92" s="44">
        <f>B89+B90+B91</f>
        <v>184528.21000000002</v>
      </c>
    </row>
    <row r="93" spans="1:2" ht="16">
      <c r="A93" s="36" t="s">
        <v>90</v>
      </c>
      <c r="B93" s="43">
        <v>366996.78</v>
      </c>
    </row>
    <row r="94" spans="1:2" ht="16">
      <c r="A94" s="36" t="s">
        <v>91</v>
      </c>
      <c r="B94" s="43">
        <v>175081.01</v>
      </c>
    </row>
    <row r="95" spans="1:2" ht="16">
      <c r="A95" s="37" t="s">
        <v>92</v>
      </c>
      <c r="B95" s="44">
        <f>B85+B86+B87+B88+B92+B93+B94</f>
        <v>908499.4600000001</v>
      </c>
    </row>
    <row r="96" spans="1:2" ht="16">
      <c r="A96" s="34" t="s">
        <v>93</v>
      </c>
      <c r="B96" s="43">
        <v>2290.68</v>
      </c>
    </row>
    <row r="97" spans="1:2" ht="16">
      <c r="A97" s="34" t="s">
        <v>94</v>
      </c>
      <c r="B97" s="45"/>
    </row>
    <row r="98" spans="1:2" ht="16">
      <c r="A98" s="36" t="s">
        <v>95</v>
      </c>
      <c r="B98" s="43">
        <v>1305.71</v>
      </c>
    </row>
    <row r="99" spans="1:2" ht="16">
      <c r="A99" s="36" t="s">
        <v>96</v>
      </c>
      <c r="B99" s="43">
        <v>3956.71</v>
      </c>
    </row>
    <row r="100" spans="1:2" ht="16">
      <c r="A100" s="36" t="s">
        <v>97</v>
      </c>
      <c r="B100" s="43">
        <v>920.68</v>
      </c>
    </row>
    <row r="101" spans="1:2" ht="16">
      <c r="A101" s="37" t="s">
        <v>98</v>
      </c>
      <c r="B101" s="44">
        <f>B97+B98+B99+B100</f>
        <v>6183.1</v>
      </c>
    </row>
    <row r="102" spans="1:2" ht="16">
      <c r="A102" s="34" t="s">
        <v>99</v>
      </c>
      <c r="B102" s="45"/>
    </row>
    <row r="103" spans="1:2" ht="16">
      <c r="A103" s="36" t="s">
        <v>100</v>
      </c>
      <c r="B103" s="43">
        <v>237029.91</v>
      </c>
    </row>
    <row r="104" spans="1:2" ht="16">
      <c r="A104" s="36" t="s">
        <v>101</v>
      </c>
      <c r="B104" s="43">
        <v>84203.44</v>
      </c>
    </row>
    <row r="105" spans="1:2" ht="16">
      <c r="A105" s="36" t="s">
        <v>102</v>
      </c>
      <c r="B105" s="43">
        <v>10722.35</v>
      </c>
    </row>
    <row r="106" spans="1:2" ht="16">
      <c r="A106" s="36" t="s">
        <v>103</v>
      </c>
      <c r="B106" s="43">
        <v>4139.71</v>
      </c>
    </row>
    <row r="107" spans="1:2" ht="16">
      <c r="A107" s="36" t="s">
        <v>104</v>
      </c>
      <c r="B107" s="43">
        <v>75859.58</v>
      </c>
    </row>
    <row r="108" spans="1:2" ht="16">
      <c r="A108" s="36" t="s">
        <v>105</v>
      </c>
      <c r="B108" s="43">
        <v>4048.81</v>
      </c>
    </row>
    <row r="109" spans="1:2" ht="16">
      <c r="A109" s="36" t="s">
        <v>106</v>
      </c>
      <c r="B109" s="43">
        <v>177591.25</v>
      </c>
    </row>
    <row r="110" spans="1:2" ht="16">
      <c r="A110" s="36" t="s">
        <v>107</v>
      </c>
      <c r="B110" s="43">
        <v>6452.26</v>
      </c>
    </row>
    <row r="111" spans="1:2" ht="16">
      <c r="A111" s="37" t="s">
        <v>108</v>
      </c>
      <c r="B111" s="44">
        <f>B102+B103+B104+B105+B106+B107+B108+B109+B110</f>
        <v>600047.31</v>
      </c>
    </row>
    <row r="112" spans="1:2" ht="16">
      <c r="A112" s="34" t="s">
        <v>109</v>
      </c>
      <c r="B112" s="43">
        <v>13780.88</v>
      </c>
    </row>
    <row r="113" spans="1:2" ht="16">
      <c r="A113" s="35" t="s">
        <v>110</v>
      </c>
      <c r="B113" s="44">
        <f>B19+B20+B26+B31+B32+B33+B48+B49+B50+B51+B54+B55+B56+B57+B58+B67+B68+B74+B75+B76+B81+B82+B83+B84+B95+B96+B101+B111+B112</f>
        <v>2147990.3100000005</v>
      </c>
    </row>
    <row r="114" spans="1:2" ht="16">
      <c r="A114" s="35" t="s">
        <v>111</v>
      </c>
      <c r="B114" s="44">
        <f>B17-B113</f>
        <v>259058.4899999993</v>
      </c>
    </row>
    <row r="115" spans="1:1" ht="16">
      <c r="A115" s="33" t="s">
        <v>112</v>
      </c>
    </row>
    <row r="116" spans="1:2" ht="16">
      <c r="A116" s="34" t="s">
        <v>113</v>
      </c>
      <c r="B116" s="43">
        <v>114.95</v>
      </c>
    </row>
    <row r="117" spans="1:2" ht="16">
      <c r="A117" s="34" t="s">
        <v>114</v>
      </c>
      <c r="B117" s="43">
        <v>76500.0</v>
      </c>
    </row>
    <row r="118" spans="1:2" ht="16">
      <c r="A118" s="35" t="s">
        <v>115</v>
      </c>
      <c r="B118" s="44">
        <f>B116+B117</f>
        <v>76614.95</v>
      </c>
    </row>
    <row r="119" spans="1:2" ht="16">
      <c r="A119" s="35" t="s">
        <v>116</v>
      </c>
      <c r="B119" s="46">
        <v>76614.95</v>
      </c>
    </row>
    <row r="120" spans="1:2" ht="16">
      <c r="A120" s="35" t="s">
        <v>117</v>
      </c>
      <c r="B120" s="44">
        <v>335673.43999999977</v>
      </c>
    </row>
    <row r="124" spans="1:1" ht="16">
      <c r="A124" s="47" t="s">
        <v>120</v>
      </c>
    </row>
  </sheetData>
  <mergeCells count="4">
    <mergeCell ref="A1:B1"/>
    <mergeCell ref="A2:B2"/>
    <mergeCell ref="A3:B3"/>
    <mergeCell ref="A124:B1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